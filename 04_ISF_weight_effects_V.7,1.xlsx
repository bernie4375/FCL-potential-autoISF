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Bernd\Documents\B_Looping\e-book_FCL\"/>
    </mc:Choice>
  </mc:AlternateContent>
  <bookViews>
    <workbookView xWindow="0" yWindow="0" windowWidth="26640" windowHeight="10515"/>
  </bookViews>
  <sheets>
    <sheet name="acce" sheetId="1" r:id="rId1"/>
    <sheet name="pp" sheetId="2" r:id="rId2"/>
    <sheet name="dura" sheetId="3" r:id="rId3"/>
    <sheet name="bg, dyn" sheetId="4" r:id="rId4"/>
  </sheets>
  <calcPr calcId="152511"/>
</workbook>
</file>

<file path=xl/calcChain.xml><?xml version="1.0" encoding="utf-8"?>
<calcChain xmlns="http://schemas.openxmlformats.org/spreadsheetml/2006/main">
  <c r="B2" i="4" l="1"/>
  <c r="O3" i="4"/>
  <c r="Q3" i="4"/>
  <c r="R3" i="4"/>
  <c r="O4" i="4"/>
  <c r="Q4" i="4"/>
  <c r="R4" i="4"/>
  <c r="O5" i="4"/>
  <c r="Q5" i="4"/>
  <c r="R5" i="4"/>
  <c r="O6" i="4"/>
  <c r="Q6" i="4"/>
  <c r="R6" i="4"/>
  <c r="O7" i="4"/>
  <c r="Q7" i="4"/>
  <c r="R7" i="4"/>
  <c r="O8" i="4"/>
  <c r="Q8" i="4"/>
  <c r="R8" i="4"/>
  <c r="A8" i="4"/>
  <c r="J8" i="4" s="1"/>
  <c r="B8" i="4" a="1"/>
  <c r="B8" i="4" s="1"/>
  <c r="I8" i="4"/>
  <c r="O9" i="4"/>
  <c r="Q9" i="4"/>
  <c r="R9" i="4"/>
  <c r="O10" i="4"/>
  <c r="Q10" i="4"/>
  <c r="R10" i="4"/>
  <c r="O11" i="4"/>
  <c r="Q11" i="4"/>
  <c r="R11" i="4"/>
  <c r="O12" i="4"/>
  <c r="Q12" i="4"/>
  <c r="R12" i="4"/>
  <c r="O13" i="4"/>
  <c r="Q13" i="4"/>
  <c r="R13" i="4"/>
  <c r="E8" i="4" l="1" a="1"/>
  <c r="E8" i="4" s="1"/>
  <c r="F8" i="4" s="1"/>
  <c r="G8" i="4" s="1"/>
  <c r="C8" i="4"/>
  <c r="D8" i="4" s="1"/>
  <c r="A9" i="4"/>
  <c r="J40" i="3"/>
  <c r="K40" i="3"/>
  <c r="L40" i="3"/>
  <c r="M40" i="3"/>
  <c r="N40" i="3"/>
  <c r="O40" i="3"/>
  <c r="P40" i="3"/>
  <c r="Q40" i="3"/>
  <c r="R40" i="3"/>
  <c r="S40" i="3"/>
  <c r="J41" i="3"/>
  <c r="K41" i="3"/>
  <c r="L41" i="3"/>
  <c r="M41" i="3"/>
  <c r="N41" i="3"/>
  <c r="O41" i="3"/>
  <c r="P41" i="3"/>
  <c r="Q41" i="3"/>
  <c r="R41" i="3"/>
  <c r="S41" i="3"/>
  <c r="J42" i="3"/>
  <c r="K42" i="3"/>
  <c r="L42" i="3"/>
  <c r="M42" i="3"/>
  <c r="N42" i="3"/>
  <c r="O42" i="3"/>
  <c r="P42" i="3"/>
  <c r="Q42" i="3"/>
  <c r="R42" i="3"/>
  <c r="S42" i="3"/>
  <c r="J43" i="3"/>
  <c r="K43" i="3"/>
  <c r="L43" i="3"/>
  <c r="M43" i="3"/>
  <c r="N43" i="3"/>
  <c r="O43" i="3"/>
  <c r="P43" i="3"/>
  <c r="Q43" i="3"/>
  <c r="R43" i="3"/>
  <c r="S43" i="3"/>
  <c r="J44" i="3"/>
  <c r="K44" i="3"/>
  <c r="L44" i="3"/>
  <c r="M44" i="3"/>
  <c r="N44" i="3"/>
  <c r="O44" i="3"/>
  <c r="P44" i="3"/>
  <c r="Q44" i="3"/>
  <c r="R44" i="3"/>
  <c r="S44" i="3"/>
  <c r="J45" i="3"/>
  <c r="K45" i="3"/>
  <c r="L45" i="3"/>
  <c r="M45" i="3"/>
  <c r="N45" i="3"/>
  <c r="O45" i="3"/>
  <c r="P45" i="3"/>
  <c r="Q45" i="3"/>
  <c r="R45" i="3"/>
  <c r="S45" i="3"/>
  <c r="J46" i="3"/>
  <c r="K46" i="3"/>
  <c r="L46" i="3"/>
  <c r="M46" i="3"/>
  <c r="N46" i="3"/>
  <c r="O46" i="3"/>
  <c r="P46" i="3"/>
  <c r="Q46" i="3"/>
  <c r="R46" i="3"/>
  <c r="S46" i="3"/>
  <c r="J47" i="3"/>
  <c r="K47" i="3"/>
  <c r="L47" i="3"/>
  <c r="M47" i="3"/>
  <c r="N47" i="3"/>
  <c r="O47" i="3"/>
  <c r="P47" i="3"/>
  <c r="Q47" i="3"/>
  <c r="R47" i="3"/>
  <c r="S47" i="3"/>
  <c r="J48" i="3"/>
  <c r="K48" i="3"/>
  <c r="L48" i="3"/>
  <c r="M48" i="3"/>
  <c r="N48" i="3"/>
  <c r="O48" i="3"/>
  <c r="P48" i="3"/>
  <c r="Q48" i="3"/>
  <c r="R48" i="3"/>
  <c r="S48" i="3"/>
  <c r="J49" i="3"/>
  <c r="K49" i="3"/>
  <c r="L49" i="3"/>
  <c r="M49" i="3"/>
  <c r="N49" i="3"/>
  <c r="O49" i="3"/>
  <c r="P49" i="3"/>
  <c r="Q49" i="3"/>
  <c r="R49" i="3"/>
  <c r="S49" i="3"/>
  <c r="J50" i="3"/>
  <c r="K50" i="3"/>
  <c r="L50" i="3"/>
  <c r="M50" i="3"/>
  <c r="N50" i="3"/>
  <c r="O50" i="3"/>
  <c r="P50" i="3"/>
  <c r="Q50" i="3"/>
  <c r="R50" i="3"/>
  <c r="S50" i="3"/>
  <c r="J51" i="3"/>
  <c r="K51" i="3"/>
  <c r="L51" i="3"/>
  <c r="M51" i="3"/>
  <c r="N51" i="3"/>
  <c r="O51" i="3"/>
  <c r="P51" i="3"/>
  <c r="Q51" i="3"/>
  <c r="R51" i="3"/>
  <c r="S51" i="3"/>
  <c r="I51" i="3"/>
  <c r="I40" i="3"/>
  <c r="I41" i="3"/>
  <c r="I42" i="3"/>
  <c r="I43" i="3" s="1"/>
  <c r="I44" i="3" s="1"/>
  <c r="I45" i="3" s="1"/>
  <c r="I46" i="3" s="1"/>
  <c r="I47" i="3" s="1"/>
  <c r="I48" i="3" s="1"/>
  <c r="I49" i="3" s="1"/>
  <c r="I50" i="3" s="1"/>
  <c r="X123" i="3"/>
  <c r="X122" i="3"/>
  <c r="X121" i="3"/>
  <c r="X120" i="3"/>
  <c r="X119" i="3"/>
  <c r="X118" i="3"/>
  <c r="X117" i="3"/>
  <c r="X116" i="3"/>
  <c r="X115" i="3"/>
  <c r="X114" i="3"/>
  <c r="X113" i="3"/>
  <c r="X112" i="3"/>
  <c r="Y113" i="3"/>
  <c r="Y114" i="3" s="1"/>
  <c r="Y115" i="3" s="1"/>
  <c r="Y116" i="3" s="1"/>
  <c r="Y117" i="3" s="1"/>
  <c r="Y118" i="3" s="1"/>
  <c r="Y119" i="3" s="1"/>
  <c r="Y120" i="3" s="1"/>
  <c r="Y121" i="3" s="1"/>
  <c r="Y122" i="3" s="1"/>
  <c r="Y123" i="3" s="1"/>
  <c r="D167" i="3"/>
  <c r="D166" i="3"/>
  <c r="D165" i="3"/>
  <c r="D164" i="3"/>
  <c r="D163" i="3"/>
  <c r="D162" i="3"/>
  <c r="D161" i="3"/>
  <c r="D160" i="3"/>
  <c r="D159" i="3"/>
  <c r="D158" i="3"/>
  <c r="D157" i="3"/>
  <c r="D156" i="3"/>
  <c r="E157" i="3"/>
  <c r="E158" i="3" s="1"/>
  <c r="E159" i="3" s="1"/>
  <c r="E160" i="3" s="1"/>
  <c r="E161" i="3" s="1"/>
  <c r="E162" i="3" s="1"/>
  <c r="E163" i="3" s="1"/>
  <c r="E164" i="3" s="1"/>
  <c r="E165" i="3" s="1"/>
  <c r="E166" i="3" s="1"/>
  <c r="E167" i="3" s="1"/>
  <c r="W92" i="3"/>
  <c r="C133" i="3"/>
  <c r="C94" i="3"/>
  <c r="C95" i="3"/>
  <c r="B134" i="3"/>
  <c r="B96" i="3"/>
  <c r="D93" i="3"/>
  <c r="H8" i="4" l="1"/>
  <c r="B9" i="4" a="1"/>
  <c r="B9" i="4" s="1"/>
  <c r="C9" i="4" s="1"/>
  <c r="D9" i="4" s="1"/>
  <c r="E9" i="4" a="1"/>
  <c r="E9" i="4" s="1"/>
  <c r="F9" i="4" s="1"/>
  <c r="G9" i="4" s="1"/>
  <c r="I9" i="4"/>
  <c r="J9" i="4"/>
  <c r="A10" i="4"/>
  <c r="B135" i="3"/>
  <c r="C134" i="3"/>
  <c r="D134" i="3"/>
  <c r="B97" i="3"/>
  <c r="B154" i="3" s="1"/>
  <c r="D96" i="3"/>
  <c r="E93" i="3"/>
  <c r="E96" i="3" s="1"/>
  <c r="D94" i="3"/>
  <c r="D95" i="3"/>
  <c r="C96" i="3"/>
  <c r="D133" i="3"/>
  <c r="L87" i="3"/>
  <c r="M87" i="3" s="1"/>
  <c r="N87" i="3" s="1"/>
  <c r="O87" i="3" s="1"/>
  <c r="P87" i="3" s="1"/>
  <c r="Q87" i="3" s="1"/>
  <c r="R87" i="3" s="1"/>
  <c r="S87" i="3" s="1"/>
  <c r="J78" i="3"/>
  <c r="J79" i="3" s="1"/>
  <c r="J80" i="3" s="1"/>
  <c r="J81" i="3" s="1"/>
  <c r="J82" i="3" s="1"/>
  <c r="J83" i="3" s="1"/>
  <c r="J84" i="3" s="1"/>
  <c r="J85" i="3" s="1"/>
  <c r="J86" i="3" s="1"/>
  <c r="R73" i="3"/>
  <c r="W71" i="3"/>
  <c r="Y42" i="3"/>
  <c r="W42" i="3"/>
  <c r="M31" i="1"/>
  <c r="M29" i="2"/>
  <c r="N2" i="1"/>
  <c r="L2" i="1"/>
  <c r="N1" i="2"/>
  <c r="L1" i="2"/>
  <c r="I10" i="4" l="1"/>
  <c r="B10" i="4" a="1"/>
  <c r="B10" i="4" s="1"/>
  <c r="C10" i="4" s="1"/>
  <c r="D10" i="4" s="1"/>
  <c r="E10" i="4" a="1"/>
  <c r="E10" i="4" s="1"/>
  <c r="F10" i="4" s="1"/>
  <c r="G10" i="4" s="1"/>
  <c r="A11" i="4"/>
  <c r="J10" i="4"/>
  <c r="H9" i="4"/>
  <c r="E134" i="3"/>
  <c r="B136" i="3"/>
  <c r="E135" i="3"/>
  <c r="F135" i="3"/>
  <c r="D135" i="3"/>
  <c r="C135" i="3"/>
  <c r="F93" i="3"/>
  <c r="F97" i="3" s="1"/>
  <c r="E133" i="3"/>
  <c r="E95" i="3"/>
  <c r="E94" i="3"/>
  <c r="B98" i="3"/>
  <c r="D97" i="3"/>
  <c r="E97" i="3"/>
  <c r="C97" i="3"/>
  <c r="A45" i="3"/>
  <c r="B45" i="3" s="1"/>
  <c r="C45" i="3" s="1"/>
  <c r="D45" i="3" s="1"/>
  <c r="B44" i="3"/>
  <c r="C44" i="3" s="1"/>
  <c r="D44" i="3" s="1"/>
  <c r="E44" i="3"/>
  <c r="F44" i="3" s="1"/>
  <c r="G44" i="3" s="1"/>
  <c r="J11" i="4" l="1"/>
  <c r="A12" i="4"/>
  <c r="I11" i="4"/>
  <c r="E11" i="4" a="1"/>
  <c r="E11" i="4" s="1"/>
  <c r="F11" i="4" s="1"/>
  <c r="G11" i="4" s="1"/>
  <c r="B11" i="4" a="1"/>
  <c r="B11" i="4" s="1"/>
  <c r="C11" i="4" s="1"/>
  <c r="D11" i="4" s="1"/>
  <c r="H10" i="4"/>
  <c r="B99" i="3"/>
  <c r="E98" i="3"/>
  <c r="D98" i="3"/>
  <c r="F98" i="3"/>
  <c r="C98" i="3"/>
  <c r="G93" i="3"/>
  <c r="G98" i="3" s="1"/>
  <c r="F133" i="3"/>
  <c r="F94" i="3"/>
  <c r="F95" i="3"/>
  <c r="F134" i="3"/>
  <c r="F96" i="3"/>
  <c r="B137" i="3"/>
  <c r="D136" i="3"/>
  <c r="E136" i="3"/>
  <c r="F136" i="3"/>
  <c r="C136" i="3"/>
  <c r="A46" i="3"/>
  <c r="A47" i="3" s="1"/>
  <c r="A48" i="3" s="1"/>
  <c r="A49" i="3" s="1"/>
  <c r="A50" i="3" s="1"/>
  <c r="A51" i="3" s="1"/>
  <c r="A52" i="3" s="1"/>
  <c r="A53" i="3" s="1"/>
  <c r="A54" i="3" s="1"/>
  <c r="A55" i="3" s="1"/>
  <c r="A56" i="3" s="1"/>
  <c r="A57" i="3" s="1"/>
  <c r="A58" i="3" s="1"/>
  <c r="A59" i="3" s="1"/>
  <c r="A60" i="3" s="1"/>
  <c r="A61" i="3" s="1"/>
  <c r="E45" i="3"/>
  <c r="F45" i="3" s="1"/>
  <c r="G45" i="3" s="1"/>
  <c r="H45" i="3" s="1"/>
  <c r="H44" i="3"/>
  <c r="J23" i="3"/>
  <c r="I24" i="3"/>
  <c r="I25" i="3" s="1"/>
  <c r="J25" i="3" s="1"/>
  <c r="K22" i="3"/>
  <c r="L22" i="3" s="1"/>
  <c r="M22" i="3" s="1"/>
  <c r="N22" i="3" s="1"/>
  <c r="O22" i="3" s="1"/>
  <c r="J3" i="3"/>
  <c r="I4" i="3"/>
  <c r="I5" i="3" s="1"/>
  <c r="K2" i="3"/>
  <c r="L2" i="3" s="1"/>
  <c r="L3" i="3" s="1"/>
  <c r="H11" i="4" l="1"/>
  <c r="J12" i="4"/>
  <c r="A13" i="4"/>
  <c r="I12" i="4"/>
  <c r="E12" i="4" a="1"/>
  <c r="E12" i="4" s="1"/>
  <c r="F12" i="4" s="1"/>
  <c r="G12" i="4" s="1"/>
  <c r="B12" i="4" a="1"/>
  <c r="B12" i="4" s="1"/>
  <c r="C12" i="4" s="1"/>
  <c r="D12" i="4" s="1"/>
  <c r="G136" i="3"/>
  <c r="E46" i="3"/>
  <c r="F46" i="3" s="1"/>
  <c r="G46" i="3" s="1"/>
  <c r="O24" i="3"/>
  <c r="B100" i="3"/>
  <c r="B155" i="3" s="1"/>
  <c r="F99" i="3"/>
  <c r="D99" i="3"/>
  <c r="G99" i="3"/>
  <c r="E99" i="3"/>
  <c r="C99" i="3"/>
  <c r="B138" i="3"/>
  <c r="E137" i="3"/>
  <c r="D137" i="3"/>
  <c r="G137" i="3"/>
  <c r="F137" i="3"/>
  <c r="C137" i="3"/>
  <c r="H93" i="3"/>
  <c r="G133" i="3"/>
  <c r="G94" i="3"/>
  <c r="G95" i="3"/>
  <c r="G96" i="3"/>
  <c r="G134" i="3"/>
  <c r="G135" i="3"/>
  <c r="G97" i="3"/>
  <c r="L23" i="3"/>
  <c r="K24" i="3"/>
  <c r="J4" i="3"/>
  <c r="J24" i="3"/>
  <c r="N25" i="3"/>
  <c r="B46" i="3"/>
  <c r="C46" i="3" s="1"/>
  <c r="D46" i="3" s="1"/>
  <c r="J5" i="3"/>
  <c r="I6" i="3"/>
  <c r="K6" i="3" s="1"/>
  <c r="L5" i="3"/>
  <c r="K3" i="3"/>
  <c r="K5" i="3"/>
  <c r="K4" i="3"/>
  <c r="L4" i="3"/>
  <c r="M2" i="3"/>
  <c r="P22" i="3"/>
  <c r="O25" i="3"/>
  <c r="O23" i="3"/>
  <c r="M25" i="3"/>
  <c r="N24" i="3"/>
  <c r="K23" i="3"/>
  <c r="L25" i="3"/>
  <c r="M24" i="3"/>
  <c r="N23" i="3"/>
  <c r="K25" i="3"/>
  <c r="L24" i="3"/>
  <c r="M23" i="3"/>
  <c r="B47" i="3"/>
  <c r="C47" i="3" s="1"/>
  <c r="D47" i="3" s="1"/>
  <c r="E47" i="3"/>
  <c r="F47" i="3" s="1"/>
  <c r="G47" i="3" s="1"/>
  <c r="I26" i="3"/>
  <c r="N26" i="3" s="1"/>
  <c r="A7" i="3"/>
  <c r="A8" i="3" s="1"/>
  <c r="A9" i="3" s="1"/>
  <c r="A10" i="3" s="1"/>
  <c r="A11" i="3" s="1"/>
  <c r="A12" i="3" s="1"/>
  <c r="A13" i="3" s="1"/>
  <c r="A14" i="3" s="1"/>
  <c r="A15" i="3" s="1"/>
  <c r="A16" i="3" s="1"/>
  <c r="A17" i="3" s="1"/>
  <c r="A18" i="3" s="1"/>
  <c r="A19" i="3" s="1"/>
  <c r="A20" i="3" s="1"/>
  <c r="A21" i="3" s="1"/>
  <c r="E6" i="3"/>
  <c r="F6" i="3" s="1"/>
  <c r="G6" i="3" s="1"/>
  <c r="B6" i="3"/>
  <c r="C6" i="3" s="1"/>
  <c r="D6" i="3" s="1"/>
  <c r="E5" i="3"/>
  <c r="F5" i="3" s="1"/>
  <c r="G5" i="3" s="1"/>
  <c r="B5" i="3"/>
  <c r="C5" i="3" s="1"/>
  <c r="D5" i="3" s="1"/>
  <c r="A7" i="2"/>
  <c r="A8" i="2" s="1"/>
  <c r="A9" i="2" s="1"/>
  <c r="B6" i="2"/>
  <c r="C6" i="2" s="1"/>
  <c r="D6" i="2" s="1"/>
  <c r="E5" i="2"/>
  <c r="F5" i="2" s="1"/>
  <c r="G5" i="2" s="1"/>
  <c r="B5" i="2"/>
  <c r="C5" i="2" s="1"/>
  <c r="D5" i="2" s="1"/>
  <c r="H12" i="4" l="1"/>
  <c r="B13" i="4" a="1"/>
  <c r="B13" i="4" s="1"/>
  <c r="C13" i="4" s="1"/>
  <c r="D13" i="4" s="1"/>
  <c r="E13" i="4" a="1"/>
  <c r="E13" i="4" s="1"/>
  <c r="F13" i="4" s="1"/>
  <c r="G13" i="4" s="1"/>
  <c r="A14" i="4"/>
  <c r="I13" i="4"/>
  <c r="J13" i="4"/>
  <c r="H46" i="3"/>
  <c r="I93" i="3"/>
  <c r="I138" i="3" s="1"/>
  <c r="H94" i="3"/>
  <c r="H133" i="3"/>
  <c r="H95" i="3"/>
  <c r="H96" i="3"/>
  <c r="H134" i="3"/>
  <c r="H135" i="3"/>
  <c r="H97" i="3"/>
  <c r="H136" i="3"/>
  <c r="H98" i="3"/>
  <c r="H137" i="3"/>
  <c r="B139" i="3"/>
  <c r="F138" i="3"/>
  <c r="D138" i="3"/>
  <c r="G138" i="3"/>
  <c r="E138" i="3"/>
  <c r="H138" i="3"/>
  <c r="C138" i="3"/>
  <c r="H99" i="3"/>
  <c r="B101" i="3"/>
  <c r="G100" i="3"/>
  <c r="E100" i="3"/>
  <c r="I100" i="3"/>
  <c r="D100" i="3"/>
  <c r="C100" i="3"/>
  <c r="F100" i="3"/>
  <c r="H100" i="3"/>
  <c r="L6" i="3"/>
  <c r="J26" i="3"/>
  <c r="M26" i="3"/>
  <c r="K26" i="3"/>
  <c r="O26" i="3"/>
  <c r="J6" i="3"/>
  <c r="I7" i="3"/>
  <c r="L26" i="3"/>
  <c r="Q22" i="3"/>
  <c r="P24" i="3"/>
  <c r="P25" i="3"/>
  <c r="P26" i="3"/>
  <c r="P23" i="3"/>
  <c r="B7" i="3"/>
  <c r="C7" i="3" s="1"/>
  <c r="D7" i="3" s="1"/>
  <c r="N2" i="3"/>
  <c r="M4" i="3"/>
  <c r="M6" i="3"/>
  <c r="M3" i="3"/>
  <c r="M5" i="3"/>
  <c r="M7" i="3"/>
  <c r="E9" i="2"/>
  <c r="F9" i="2" s="1"/>
  <c r="G9" i="2" s="1"/>
  <c r="A10" i="2"/>
  <c r="B9" i="2"/>
  <c r="C9" i="2" s="1"/>
  <c r="D9" i="2" s="1"/>
  <c r="H47" i="3"/>
  <c r="B48" i="3"/>
  <c r="C48" i="3" s="1"/>
  <c r="D48" i="3" s="1"/>
  <c r="E48" i="3"/>
  <c r="F48" i="3" s="1"/>
  <c r="G48" i="3" s="1"/>
  <c r="I27" i="3"/>
  <c r="A22" i="3"/>
  <c r="E21" i="3"/>
  <c r="B21" i="3"/>
  <c r="C21" i="3" s="1"/>
  <c r="D21" i="3" s="1"/>
  <c r="H6" i="3"/>
  <c r="E7" i="3"/>
  <c r="F7" i="3" s="1"/>
  <c r="G7" i="3" s="1"/>
  <c r="H9" i="2"/>
  <c r="B7" i="2"/>
  <c r="C7" i="2" s="1"/>
  <c r="D7" i="2" s="1"/>
  <c r="E7" i="2"/>
  <c r="F7" i="2" s="1"/>
  <c r="G7" i="2" s="1"/>
  <c r="E6" i="2"/>
  <c r="F6" i="2" s="1"/>
  <c r="G6" i="2" s="1"/>
  <c r="H6" i="2" s="1"/>
  <c r="A6" i="1"/>
  <c r="E5" i="1"/>
  <c r="F5" i="1" s="1"/>
  <c r="G5" i="1" s="1"/>
  <c r="B5" i="1"/>
  <c r="C5" i="1" s="1"/>
  <c r="D5" i="1" s="1"/>
  <c r="H13" i="4" l="1"/>
  <c r="B14" i="4" a="1"/>
  <c r="B14" i="4" s="1"/>
  <c r="C14" i="4" s="1"/>
  <c r="D14" i="4" s="1"/>
  <c r="E14" i="4" a="1"/>
  <c r="E14" i="4" s="1"/>
  <c r="F14" i="4" s="1"/>
  <c r="G14" i="4" s="1"/>
  <c r="A15" i="4"/>
  <c r="I14" i="4"/>
  <c r="J14" i="4"/>
  <c r="B6" i="1"/>
  <c r="C6" i="1" s="1"/>
  <c r="D6" i="1" s="1"/>
  <c r="I6" i="1"/>
  <c r="B140" i="3"/>
  <c r="G139" i="3"/>
  <c r="D139" i="3"/>
  <c r="I139" i="3"/>
  <c r="F139" i="3"/>
  <c r="E139" i="3"/>
  <c r="H139" i="3"/>
  <c r="C139" i="3"/>
  <c r="H7" i="3"/>
  <c r="B102" i="3"/>
  <c r="D101" i="3"/>
  <c r="H101" i="3"/>
  <c r="F101" i="3"/>
  <c r="I101" i="3"/>
  <c r="C101" i="3"/>
  <c r="E101" i="3"/>
  <c r="G101" i="3"/>
  <c r="J93" i="3"/>
  <c r="I133" i="3"/>
  <c r="I95" i="3"/>
  <c r="I94" i="3"/>
  <c r="I134" i="3"/>
  <c r="I96" i="3"/>
  <c r="I135" i="3"/>
  <c r="I97" i="3"/>
  <c r="I136" i="3"/>
  <c r="I98" i="3"/>
  <c r="I99" i="3"/>
  <c r="I137" i="3"/>
  <c r="R22" i="3"/>
  <c r="Q23" i="3"/>
  <c r="Q27" i="3"/>
  <c r="Q24" i="3"/>
  <c r="Q25" i="3"/>
  <c r="Q26" i="3"/>
  <c r="J7" i="3"/>
  <c r="I8" i="3"/>
  <c r="N8" i="3" s="1"/>
  <c r="L7" i="3"/>
  <c r="K7" i="3"/>
  <c r="J27" i="3"/>
  <c r="L27" i="3"/>
  <c r="K27" i="3"/>
  <c r="N27" i="3"/>
  <c r="O27" i="3"/>
  <c r="M27" i="3"/>
  <c r="N4" i="3"/>
  <c r="N6" i="3"/>
  <c r="N3" i="3"/>
  <c r="N7" i="3"/>
  <c r="O2" i="3"/>
  <c r="N5" i="3"/>
  <c r="P27" i="3"/>
  <c r="B10" i="2"/>
  <c r="C10" i="2" s="1"/>
  <c r="D10" i="2" s="1"/>
  <c r="A11" i="2"/>
  <c r="E10" i="2"/>
  <c r="F10" i="2" s="1"/>
  <c r="G10" i="2" s="1"/>
  <c r="B49" i="3"/>
  <c r="C49" i="3" s="1"/>
  <c r="D49" i="3" s="1"/>
  <c r="E49" i="3"/>
  <c r="F49" i="3" s="1"/>
  <c r="G49" i="3" s="1"/>
  <c r="H48" i="3"/>
  <c r="I28" i="3"/>
  <c r="Q28" i="3" s="1"/>
  <c r="F21" i="3"/>
  <c r="G21" i="3" s="1"/>
  <c r="H21" i="3" s="1"/>
  <c r="A23" i="3"/>
  <c r="B22" i="3"/>
  <c r="C22" i="3" s="1"/>
  <c r="D22" i="3" s="1"/>
  <c r="E22" i="3"/>
  <c r="F22" i="3" s="1"/>
  <c r="G22" i="3" s="1"/>
  <c r="B8" i="3"/>
  <c r="C8" i="3" s="1"/>
  <c r="D8" i="3" s="1"/>
  <c r="E8" i="3"/>
  <c r="F8" i="3" s="1"/>
  <c r="G8" i="3" s="1"/>
  <c r="H7" i="2"/>
  <c r="B8" i="2"/>
  <c r="C8" i="2" s="1"/>
  <c r="D8" i="2" s="1"/>
  <c r="E8" i="2"/>
  <c r="F8" i="2" s="1"/>
  <c r="G8" i="2" s="1"/>
  <c r="E6" i="1"/>
  <c r="F6" i="1" s="1"/>
  <c r="G6" i="1" s="1"/>
  <c r="H6" i="1" s="1"/>
  <c r="A7" i="1"/>
  <c r="H14" i="4" l="1"/>
  <c r="B15" i="4" a="1"/>
  <c r="B15" i="4" s="1"/>
  <c r="C15" i="4" s="1"/>
  <c r="D15" i="4" s="1"/>
  <c r="E15" i="4" a="1"/>
  <c r="E15" i="4" s="1"/>
  <c r="F15" i="4" s="1"/>
  <c r="G15" i="4" s="1"/>
  <c r="I15" i="4"/>
  <c r="J15" i="4"/>
  <c r="A16" i="4"/>
  <c r="E7" i="1"/>
  <c r="F7" i="1" s="1"/>
  <c r="G7" i="1" s="1"/>
  <c r="I7" i="1"/>
  <c r="K93" i="3"/>
  <c r="J133" i="3"/>
  <c r="J94" i="3"/>
  <c r="J95" i="3"/>
  <c r="J134" i="3"/>
  <c r="J96" i="3"/>
  <c r="J135" i="3"/>
  <c r="J97" i="3"/>
  <c r="J98" i="3"/>
  <c r="J136" i="3"/>
  <c r="J99" i="3"/>
  <c r="J137" i="3"/>
  <c r="J138" i="3"/>
  <c r="J100" i="3"/>
  <c r="J101" i="3"/>
  <c r="B103" i="3"/>
  <c r="B156" i="3" s="1"/>
  <c r="E102" i="3"/>
  <c r="I102" i="3"/>
  <c r="G102" i="3"/>
  <c r="K102" i="3"/>
  <c r="F102" i="3"/>
  <c r="H102" i="3"/>
  <c r="J102" i="3"/>
  <c r="C102" i="3"/>
  <c r="D102" i="3"/>
  <c r="J139" i="3"/>
  <c r="B141" i="3"/>
  <c r="D140" i="3"/>
  <c r="H140" i="3"/>
  <c r="I140" i="3"/>
  <c r="F140" i="3"/>
  <c r="K140" i="3"/>
  <c r="E140" i="3"/>
  <c r="C140" i="3"/>
  <c r="G140" i="3"/>
  <c r="J140" i="3"/>
  <c r="I9" i="3"/>
  <c r="O9" i="3" s="1"/>
  <c r="J8" i="3"/>
  <c r="K8" i="3"/>
  <c r="L8" i="3"/>
  <c r="M8" i="3"/>
  <c r="J28" i="3"/>
  <c r="K28" i="3"/>
  <c r="M28" i="3"/>
  <c r="L28" i="3"/>
  <c r="N28" i="3"/>
  <c r="O28" i="3"/>
  <c r="P28" i="3"/>
  <c r="O3" i="3"/>
  <c r="O5" i="3"/>
  <c r="O7" i="3"/>
  <c r="O4" i="3"/>
  <c r="O6" i="3"/>
  <c r="O8" i="3"/>
  <c r="P2" i="3"/>
  <c r="S22" i="3"/>
  <c r="R26" i="3"/>
  <c r="R23" i="3"/>
  <c r="R27" i="3"/>
  <c r="R24" i="3"/>
  <c r="R28" i="3"/>
  <c r="R25" i="3"/>
  <c r="H22" i="3"/>
  <c r="A8" i="1"/>
  <c r="I8" i="1" s="1"/>
  <c r="H10" i="2"/>
  <c r="A12" i="2"/>
  <c r="B11" i="2"/>
  <c r="C11" i="2" s="1"/>
  <c r="D11" i="2" s="1"/>
  <c r="E11" i="2"/>
  <c r="F11" i="2" s="1"/>
  <c r="G11" i="2" s="1"/>
  <c r="H11" i="2" s="1"/>
  <c r="H49" i="3"/>
  <c r="B50" i="3"/>
  <c r="C50" i="3" s="1"/>
  <c r="D50" i="3" s="1"/>
  <c r="E50" i="3"/>
  <c r="F50" i="3" s="1"/>
  <c r="G50" i="3" s="1"/>
  <c r="I29" i="3"/>
  <c r="R29" i="3" s="1"/>
  <c r="A24" i="3"/>
  <c r="B23" i="3"/>
  <c r="C23" i="3" s="1"/>
  <c r="D23" i="3" s="1"/>
  <c r="E23" i="3"/>
  <c r="F23" i="3" s="1"/>
  <c r="G23" i="3" s="1"/>
  <c r="B9" i="3"/>
  <c r="C9" i="3" s="1"/>
  <c r="D9" i="3" s="1"/>
  <c r="E9" i="3"/>
  <c r="F9" i="3" s="1"/>
  <c r="G9" i="3" s="1"/>
  <c r="H8" i="3"/>
  <c r="H8" i="2"/>
  <c r="B7" i="1"/>
  <c r="C7" i="1" s="1"/>
  <c r="D7" i="1" s="1"/>
  <c r="H7" i="1" s="1"/>
  <c r="E8" i="1"/>
  <c r="F8" i="1" s="1"/>
  <c r="G8" i="1" s="1"/>
  <c r="H15" i="4" l="1"/>
  <c r="B16" i="4" a="1"/>
  <c r="B16" i="4" s="1"/>
  <c r="C16" i="4" s="1"/>
  <c r="D16" i="4" s="1"/>
  <c r="E16" i="4" a="1"/>
  <c r="E16" i="4" s="1"/>
  <c r="F16" i="4" s="1"/>
  <c r="G16" i="4" s="1"/>
  <c r="A17" i="4"/>
  <c r="I16" i="4"/>
  <c r="J16" i="4"/>
  <c r="A9" i="1"/>
  <c r="I9" i="1" s="1"/>
  <c r="B8" i="1"/>
  <c r="C8" i="1" s="1"/>
  <c r="D8" i="1" s="1"/>
  <c r="B104" i="3"/>
  <c r="F103" i="3"/>
  <c r="J103" i="3"/>
  <c r="D103" i="3"/>
  <c r="H103" i="3"/>
  <c r="K103" i="3"/>
  <c r="E103" i="3"/>
  <c r="G103" i="3"/>
  <c r="I103" i="3"/>
  <c r="C103" i="3"/>
  <c r="B142" i="3"/>
  <c r="E141" i="3"/>
  <c r="I141" i="3"/>
  <c r="H141" i="3"/>
  <c r="F141" i="3"/>
  <c r="K141" i="3"/>
  <c r="D141" i="3"/>
  <c r="G141" i="3"/>
  <c r="J141" i="3"/>
  <c r="C141" i="3"/>
  <c r="L93" i="3"/>
  <c r="K133" i="3"/>
  <c r="K94" i="3"/>
  <c r="K95" i="3"/>
  <c r="K134" i="3"/>
  <c r="K96" i="3"/>
  <c r="K97" i="3"/>
  <c r="K135" i="3"/>
  <c r="K98" i="3"/>
  <c r="K136" i="3"/>
  <c r="K99" i="3"/>
  <c r="K137" i="3"/>
  <c r="K138" i="3"/>
  <c r="K100" i="3"/>
  <c r="K139" i="3"/>
  <c r="K101" i="3"/>
  <c r="S25" i="3"/>
  <c r="S29" i="3"/>
  <c r="S26" i="3"/>
  <c r="S23" i="3"/>
  <c r="S27" i="3"/>
  <c r="S24" i="3"/>
  <c r="S28" i="3"/>
  <c r="J29" i="3"/>
  <c r="N29" i="3"/>
  <c r="K29" i="3"/>
  <c r="O29" i="3"/>
  <c r="M29" i="3"/>
  <c r="L29" i="3"/>
  <c r="P29" i="3"/>
  <c r="Q29" i="3"/>
  <c r="Q2" i="3"/>
  <c r="P5" i="3"/>
  <c r="P9" i="3"/>
  <c r="P4" i="3"/>
  <c r="P8" i="3"/>
  <c r="P3" i="3"/>
  <c r="P7" i="3"/>
  <c r="P6" i="3"/>
  <c r="I10" i="3"/>
  <c r="J9" i="3"/>
  <c r="K9" i="3"/>
  <c r="L9" i="3"/>
  <c r="M9" i="3"/>
  <c r="N9" i="3"/>
  <c r="H50" i="3"/>
  <c r="A13" i="2"/>
  <c r="B12" i="2"/>
  <c r="C12" i="2" s="1"/>
  <c r="D12" i="2" s="1"/>
  <c r="E12" i="2"/>
  <c r="F12" i="2" s="1"/>
  <c r="G12" i="2" s="1"/>
  <c r="B51" i="3"/>
  <c r="C51" i="3" s="1"/>
  <c r="D51" i="3" s="1"/>
  <c r="E51" i="3"/>
  <c r="F51" i="3" s="1"/>
  <c r="G51" i="3" s="1"/>
  <c r="I30" i="3"/>
  <c r="H23" i="3"/>
  <c r="A25" i="3"/>
  <c r="B24" i="3"/>
  <c r="C24" i="3" s="1"/>
  <c r="D24" i="3" s="1"/>
  <c r="E24" i="3"/>
  <c r="F24" i="3" s="1"/>
  <c r="G24" i="3" s="1"/>
  <c r="H9" i="3"/>
  <c r="B10" i="3"/>
  <c r="C10" i="3" s="1"/>
  <c r="D10" i="3" s="1"/>
  <c r="E10" i="3"/>
  <c r="F10" i="3" s="1"/>
  <c r="G10" i="3" s="1"/>
  <c r="H8" i="1"/>
  <c r="E9" i="1"/>
  <c r="F9" i="1" s="1"/>
  <c r="G9" i="1" s="1"/>
  <c r="A10" i="1"/>
  <c r="I10" i="1" s="1"/>
  <c r="B9" i="1"/>
  <c r="C9" i="1" s="1"/>
  <c r="D9" i="1" s="1"/>
  <c r="H16" i="4" l="1"/>
  <c r="B17" i="4" a="1"/>
  <c r="B17" i="4" s="1"/>
  <c r="C17" i="4" s="1"/>
  <c r="D17" i="4" s="1"/>
  <c r="E17" i="4" a="1"/>
  <c r="E17" i="4" s="1"/>
  <c r="F17" i="4" s="1"/>
  <c r="G17" i="4" s="1"/>
  <c r="J17" i="4"/>
  <c r="A18" i="4"/>
  <c r="I17" i="4"/>
  <c r="M93" i="3"/>
  <c r="M104" i="3" s="1"/>
  <c r="L94" i="3"/>
  <c r="L95" i="3"/>
  <c r="L133" i="3"/>
  <c r="L96" i="3"/>
  <c r="L134" i="3"/>
  <c r="L97" i="3"/>
  <c r="L135" i="3"/>
  <c r="L136" i="3"/>
  <c r="L98" i="3"/>
  <c r="L137" i="3"/>
  <c r="L99" i="3"/>
  <c r="L100" i="3"/>
  <c r="L138" i="3"/>
  <c r="L101" i="3"/>
  <c r="L139" i="3"/>
  <c r="L140" i="3"/>
  <c r="L102" i="3"/>
  <c r="L103" i="3"/>
  <c r="B143" i="3"/>
  <c r="G142" i="3"/>
  <c r="K142" i="3"/>
  <c r="E142" i="3"/>
  <c r="I142" i="3"/>
  <c r="M142" i="3"/>
  <c r="D142" i="3"/>
  <c r="L142" i="3"/>
  <c r="F142" i="3"/>
  <c r="H142" i="3"/>
  <c r="J142" i="3"/>
  <c r="C142" i="3"/>
  <c r="L141" i="3"/>
  <c r="B105" i="3"/>
  <c r="G104" i="3"/>
  <c r="K104" i="3"/>
  <c r="E104" i="3"/>
  <c r="I104" i="3"/>
  <c r="H104" i="3"/>
  <c r="C104" i="3"/>
  <c r="J104" i="3"/>
  <c r="D104" i="3"/>
  <c r="L104" i="3"/>
  <c r="F104" i="3"/>
  <c r="J30" i="3"/>
  <c r="M30" i="3"/>
  <c r="L30" i="3"/>
  <c r="N30" i="3"/>
  <c r="K30" i="3"/>
  <c r="O30" i="3"/>
  <c r="P30" i="3"/>
  <c r="Q30" i="3"/>
  <c r="R30" i="3"/>
  <c r="I11" i="3"/>
  <c r="J10" i="3"/>
  <c r="L10" i="3"/>
  <c r="K10" i="3"/>
  <c r="M10" i="3"/>
  <c r="N10" i="3"/>
  <c r="O10" i="3"/>
  <c r="P10" i="3"/>
  <c r="Q5" i="3"/>
  <c r="Q9" i="3"/>
  <c r="Q3" i="3"/>
  <c r="Q7" i="3"/>
  <c r="Q11" i="3"/>
  <c r="Q8" i="3"/>
  <c r="Q6" i="3"/>
  <c r="Q10" i="3"/>
  <c r="Q4" i="3"/>
  <c r="R2" i="3"/>
  <c r="S30" i="3"/>
  <c r="H24" i="3"/>
  <c r="A14" i="2"/>
  <c r="E13" i="2"/>
  <c r="F13" i="2" s="1"/>
  <c r="G13" i="2" s="1"/>
  <c r="B13" i="2"/>
  <c r="C13" i="2" s="1"/>
  <c r="D13" i="2" s="1"/>
  <c r="H12" i="2"/>
  <c r="B52" i="3"/>
  <c r="C52" i="3" s="1"/>
  <c r="D52" i="3" s="1"/>
  <c r="E52" i="3"/>
  <c r="F52" i="3" s="1"/>
  <c r="G52" i="3" s="1"/>
  <c r="H51" i="3"/>
  <c r="I31" i="3"/>
  <c r="A26" i="3"/>
  <c r="B25" i="3"/>
  <c r="C25" i="3" s="1"/>
  <c r="D25" i="3" s="1"/>
  <c r="E25" i="3"/>
  <c r="F25" i="3" s="1"/>
  <c r="G25" i="3" s="1"/>
  <c r="B11" i="3"/>
  <c r="C11" i="3" s="1"/>
  <c r="D11" i="3" s="1"/>
  <c r="E11" i="3"/>
  <c r="F11" i="3" s="1"/>
  <c r="G11" i="3" s="1"/>
  <c r="H10" i="3"/>
  <c r="H9" i="1"/>
  <c r="B10" i="1"/>
  <c r="C10" i="1" s="1"/>
  <c r="D10" i="1" s="1"/>
  <c r="E10" i="1"/>
  <c r="F10" i="1" s="1"/>
  <c r="G10" i="1" s="1"/>
  <c r="A11" i="1"/>
  <c r="I11" i="1" s="1"/>
  <c r="H17" i="4" l="1"/>
  <c r="B18" i="4" a="1"/>
  <c r="B18" i="4" s="1"/>
  <c r="C18" i="4" s="1"/>
  <c r="D18" i="4" s="1"/>
  <c r="E18" i="4" a="1"/>
  <c r="E18" i="4" s="1"/>
  <c r="F18" i="4" s="1"/>
  <c r="G18" i="4" s="1"/>
  <c r="I18" i="4"/>
  <c r="J18" i="4"/>
  <c r="A19" i="4"/>
  <c r="B144" i="3"/>
  <c r="D143" i="3"/>
  <c r="H143" i="3"/>
  <c r="L143" i="3"/>
  <c r="F143" i="3"/>
  <c r="J143" i="3"/>
  <c r="I143" i="3"/>
  <c r="K143" i="3"/>
  <c r="E143" i="3"/>
  <c r="M143" i="3"/>
  <c r="C143" i="3"/>
  <c r="G143" i="3"/>
  <c r="B106" i="3"/>
  <c r="B157" i="3" s="1"/>
  <c r="D105" i="3"/>
  <c r="H105" i="3"/>
  <c r="L105" i="3"/>
  <c r="F105" i="3"/>
  <c r="J105" i="3"/>
  <c r="E105" i="3"/>
  <c r="M105" i="3"/>
  <c r="G105" i="3"/>
  <c r="C105" i="3"/>
  <c r="I105" i="3"/>
  <c r="K105" i="3"/>
  <c r="H52" i="3"/>
  <c r="N93" i="3"/>
  <c r="M133" i="3"/>
  <c r="M95" i="3"/>
  <c r="M94" i="3"/>
  <c r="M134" i="3"/>
  <c r="M96" i="3"/>
  <c r="M97" i="3"/>
  <c r="M135" i="3"/>
  <c r="M136" i="3"/>
  <c r="M98" i="3"/>
  <c r="M137" i="3"/>
  <c r="M99" i="3"/>
  <c r="M100" i="3"/>
  <c r="M138" i="3"/>
  <c r="M139" i="3"/>
  <c r="M101" i="3"/>
  <c r="M140" i="3"/>
  <c r="M102" i="3"/>
  <c r="M141" i="3"/>
  <c r="M103" i="3"/>
  <c r="R6" i="3"/>
  <c r="R10" i="3"/>
  <c r="R4" i="3"/>
  <c r="R8" i="3"/>
  <c r="R5" i="3"/>
  <c r="R3" i="3"/>
  <c r="R11" i="3"/>
  <c r="R9" i="3"/>
  <c r="S2" i="3"/>
  <c r="R7" i="3"/>
  <c r="I12" i="3"/>
  <c r="R12" i="3" s="1"/>
  <c r="J11" i="3"/>
  <c r="K11" i="3"/>
  <c r="L11" i="3"/>
  <c r="M11" i="3"/>
  <c r="N11" i="3"/>
  <c r="O11" i="3"/>
  <c r="P11" i="3"/>
  <c r="J31" i="3"/>
  <c r="L31" i="3"/>
  <c r="O31" i="3"/>
  <c r="K31" i="3"/>
  <c r="N31" i="3"/>
  <c r="M31" i="3"/>
  <c r="P31" i="3"/>
  <c r="Q31" i="3"/>
  <c r="R31" i="3"/>
  <c r="S31" i="3"/>
  <c r="H10" i="1"/>
  <c r="H13" i="2"/>
  <c r="A15" i="2"/>
  <c r="B14" i="2"/>
  <c r="C14" i="2" s="1"/>
  <c r="D14" i="2" s="1"/>
  <c r="E14" i="2"/>
  <c r="F14" i="2" s="1"/>
  <c r="G14" i="2" s="1"/>
  <c r="H14" i="2" s="1"/>
  <c r="B53" i="3"/>
  <c r="C53" i="3" s="1"/>
  <c r="D53" i="3" s="1"/>
  <c r="E53" i="3"/>
  <c r="F53" i="3" s="1"/>
  <c r="G53" i="3" s="1"/>
  <c r="I32" i="3"/>
  <c r="H25" i="3"/>
  <c r="A27" i="3"/>
  <c r="B26" i="3"/>
  <c r="C26" i="3" s="1"/>
  <c r="D26" i="3" s="1"/>
  <c r="E26" i="3"/>
  <c r="F26" i="3" s="1"/>
  <c r="G26" i="3" s="1"/>
  <c r="H11" i="3"/>
  <c r="B12" i="3"/>
  <c r="C12" i="3" s="1"/>
  <c r="D12" i="3" s="1"/>
  <c r="E12" i="3"/>
  <c r="F12" i="3" s="1"/>
  <c r="G12" i="3" s="1"/>
  <c r="B11" i="1"/>
  <c r="C11" i="1" s="1"/>
  <c r="D11" i="1" s="1"/>
  <c r="A12" i="1"/>
  <c r="I12" i="1" s="1"/>
  <c r="E11" i="1"/>
  <c r="F11" i="1" s="1"/>
  <c r="G11" i="1" s="1"/>
  <c r="H18" i="4" l="1"/>
  <c r="B19" i="4" a="1"/>
  <c r="B19" i="4" s="1"/>
  <c r="C19" i="4" s="1"/>
  <c r="D19" i="4" s="1"/>
  <c r="E19" i="4" a="1"/>
  <c r="E19" i="4" s="1"/>
  <c r="F19" i="4" s="1"/>
  <c r="G19" i="4" s="1"/>
  <c r="I19" i="4"/>
  <c r="J19" i="4"/>
  <c r="A20" i="4"/>
  <c r="N133" i="3"/>
  <c r="N94" i="3"/>
  <c r="N95" i="3"/>
  <c r="N96" i="3"/>
  <c r="N134" i="3"/>
  <c r="N97" i="3"/>
  <c r="N135" i="3"/>
  <c r="N98" i="3"/>
  <c r="N136" i="3"/>
  <c r="N137" i="3"/>
  <c r="N99" i="3"/>
  <c r="N138" i="3"/>
  <c r="N100" i="3"/>
  <c r="N101" i="3"/>
  <c r="N139" i="3"/>
  <c r="N102" i="3"/>
  <c r="N140" i="3"/>
  <c r="N141" i="3"/>
  <c r="N103" i="3"/>
  <c r="N142" i="3"/>
  <c r="N104" i="3"/>
  <c r="N105" i="3"/>
  <c r="N143" i="3"/>
  <c r="B107" i="3"/>
  <c r="E106" i="3"/>
  <c r="I106" i="3"/>
  <c r="M106" i="3"/>
  <c r="G106" i="3"/>
  <c r="K106" i="3"/>
  <c r="J106" i="3"/>
  <c r="L106" i="3"/>
  <c r="D106" i="3"/>
  <c r="F106" i="3"/>
  <c r="N106" i="3"/>
  <c r="C106" i="3"/>
  <c r="H106" i="3"/>
  <c r="B145" i="3"/>
  <c r="E144" i="3"/>
  <c r="I144" i="3"/>
  <c r="M144" i="3"/>
  <c r="G144" i="3"/>
  <c r="K144" i="3"/>
  <c r="F144" i="3"/>
  <c r="N144" i="3"/>
  <c r="C144" i="3"/>
  <c r="H144" i="3"/>
  <c r="J144" i="3"/>
  <c r="D144" i="3"/>
  <c r="L144" i="3"/>
  <c r="K32" i="3"/>
  <c r="J32" i="3"/>
  <c r="O32" i="3"/>
  <c r="M32" i="3"/>
  <c r="L32" i="3"/>
  <c r="N32" i="3"/>
  <c r="P32" i="3"/>
  <c r="Q32" i="3"/>
  <c r="R32" i="3"/>
  <c r="S32" i="3"/>
  <c r="I13" i="3"/>
  <c r="S13" i="3" s="1"/>
  <c r="J12" i="3"/>
  <c r="K12" i="3"/>
  <c r="L12" i="3"/>
  <c r="M12" i="3"/>
  <c r="N12" i="3"/>
  <c r="O12" i="3"/>
  <c r="P12" i="3"/>
  <c r="Q12" i="3"/>
  <c r="S3" i="3"/>
  <c r="S7" i="3"/>
  <c r="S11" i="3"/>
  <c r="S5" i="3"/>
  <c r="S9" i="3"/>
  <c r="S10" i="3"/>
  <c r="S8" i="3"/>
  <c r="S6" i="3"/>
  <c r="S4" i="3"/>
  <c r="S12" i="3"/>
  <c r="H26" i="3"/>
  <c r="A16" i="2"/>
  <c r="E15" i="2"/>
  <c r="F15" i="2" s="1"/>
  <c r="G15" i="2" s="1"/>
  <c r="B15" i="2"/>
  <c r="C15" i="2" s="1"/>
  <c r="D15" i="2" s="1"/>
  <c r="H53" i="3"/>
  <c r="B54" i="3"/>
  <c r="C54" i="3" s="1"/>
  <c r="D54" i="3" s="1"/>
  <c r="E54" i="3"/>
  <c r="F54" i="3" s="1"/>
  <c r="G54" i="3" s="1"/>
  <c r="I33" i="3"/>
  <c r="H12" i="3"/>
  <c r="A28" i="3"/>
  <c r="B27" i="3"/>
  <c r="C27" i="3" s="1"/>
  <c r="D27" i="3" s="1"/>
  <c r="E27" i="3"/>
  <c r="F27" i="3" s="1"/>
  <c r="G27" i="3" s="1"/>
  <c r="B13" i="3"/>
  <c r="C13" i="3" s="1"/>
  <c r="D13" i="3" s="1"/>
  <c r="E13" i="3"/>
  <c r="F13" i="3" s="1"/>
  <c r="G13" i="3" s="1"/>
  <c r="H11" i="1"/>
  <c r="A13" i="1"/>
  <c r="I13" i="1" s="1"/>
  <c r="B12" i="1"/>
  <c r="C12" i="1" s="1"/>
  <c r="D12" i="1" s="1"/>
  <c r="E12" i="1"/>
  <c r="F12" i="1" s="1"/>
  <c r="G12" i="1" s="1"/>
  <c r="B20" i="4" l="1" a="1"/>
  <c r="B20" i="4" s="1"/>
  <c r="C20" i="4" s="1"/>
  <c r="D20" i="4" s="1"/>
  <c r="E20" i="4" a="1"/>
  <c r="E20" i="4" s="1"/>
  <c r="F20" i="4" s="1"/>
  <c r="G20" i="4" s="1"/>
  <c r="A21" i="4"/>
  <c r="I20" i="4"/>
  <c r="J20" i="4"/>
  <c r="H19" i="4"/>
  <c r="B108" i="3"/>
  <c r="F107" i="3"/>
  <c r="J107" i="3"/>
  <c r="N107" i="3"/>
  <c r="D107" i="3"/>
  <c r="H107" i="3"/>
  <c r="L107" i="3"/>
  <c r="G107" i="3"/>
  <c r="I107" i="3"/>
  <c r="K107" i="3"/>
  <c r="E107" i="3"/>
  <c r="M107" i="3"/>
  <c r="C107" i="3"/>
  <c r="B146" i="3"/>
  <c r="F145" i="3"/>
  <c r="J145" i="3"/>
  <c r="N145" i="3"/>
  <c r="D145" i="3"/>
  <c r="H145" i="3"/>
  <c r="L145" i="3"/>
  <c r="K145" i="3"/>
  <c r="E145" i="3"/>
  <c r="M145" i="3"/>
  <c r="G145" i="3"/>
  <c r="C145" i="3"/>
  <c r="I145" i="3"/>
  <c r="J33" i="3"/>
  <c r="N33" i="3"/>
  <c r="O33" i="3"/>
  <c r="K33" i="3"/>
  <c r="L33" i="3"/>
  <c r="M33" i="3"/>
  <c r="P33" i="3"/>
  <c r="Q33" i="3"/>
  <c r="R33" i="3"/>
  <c r="S33" i="3"/>
  <c r="I14" i="3"/>
  <c r="J13" i="3"/>
  <c r="K13" i="3"/>
  <c r="L13" i="3"/>
  <c r="M13" i="3"/>
  <c r="N13" i="3"/>
  <c r="O13" i="3"/>
  <c r="P13" i="3"/>
  <c r="Q13" i="3"/>
  <c r="R13" i="3"/>
  <c r="H27" i="3"/>
  <c r="H12" i="1"/>
  <c r="H15" i="2"/>
  <c r="A17" i="2"/>
  <c r="E16" i="2"/>
  <c r="F16" i="2" s="1"/>
  <c r="G16" i="2" s="1"/>
  <c r="B16" i="2"/>
  <c r="C16" i="2" s="1"/>
  <c r="D16" i="2" s="1"/>
  <c r="H54" i="3"/>
  <c r="B55" i="3"/>
  <c r="C55" i="3" s="1"/>
  <c r="D55" i="3" s="1"/>
  <c r="E55" i="3"/>
  <c r="F55" i="3" s="1"/>
  <c r="G55" i="3" s="1"/>
  <c r="I34" i="3"/>
  <c r="A29" i="3"/>
  <c r="E28" i="3"/>
  <c r="F28" i="3" s="1"/>
  <c r="G28" i="3" s="1"/>
  <c r="B28" i="3"/>
  <c r="C28" i="3" s="1"/>
  <c r="D28" i="3" s="1"/>
  <c r="H13" i="3"/>
  <c r="B14" i="3"/>
  <c r="C14" i="3" s="1"/>
  <c r="D14" i="3" s="1"/>
  <c r="E14" i="3"/>
  <c r="F14" i="3" s="1"/>
  <c r="G14" i="3" s="1"/>
  <c r="E13" i="1"/>
  <c r="F13" i="1" s="1"/>
  <c r="G13" i="1" s="1"/>
  <c r="A14" i="1"/>
  <c r="I14" i="1" s="1"/>
  <c r="B13" i="1"/>
  <c r="C13" i="1" s="1"/>
  <c r="D13" i="1" s="1"/>
  <c r="H20" i="4" l="1"/>
  <c r="B21" i="4" a="1"/>
  <c r="B21" i="4" s="1"/>
  <c r="C21" i="4" s="1"/>
  <c r="D21" i="4" s="1"/>
  <c r="E21" i="4" a="1"/>
  <c r="E21" i="4" s="1"/>
  <c r="F21" i="4" s="1"/>
  <c r="G21" i="4" s="1"/>
  <c r="J21" i="4"/>
  <c r="A22" i="4"/>
  <c r="I21" i="4"/>
  <c r="B147" i="3"/>
  <c r="G146" i="3"/>
  <c r="K146" i="3"/>
  <c r="E146" i="3"/>
  <c r="I146" i="3"/>
  <c r="H146" i="3"/>
  <c r="N146" i="3"/>
  <c r="J146" i="3"/>
  <c r="D146" i="3"/>
  <c r="L146" i="3"/>
  <c r="M146" i="3"/>
  <c r="C146" i="3"/>
  <c r="F146" i="3"/>
  <c r="B109" i="3"/>
  <c r="B158" i="3" s="1"/>
  <c r="G108" i="3"/>
  <c r="K108" i="3"/>
  <c r="E108" i="3"/>
  <c r="I108" i="3"/>
  <c r="M108" i="3"/>
  <c r="D108" i="3"/>
  <c r="L108" i="3"/>
  <c r="C108" i="3"/>
  <c r="F108" i="3"/>
  <c r="N108" i="3"/>
  <c r="H108" i="3"/>
  <c r="J108" i="3"/>
  <c r="I15" i="3"/>
  <c r="J14" i="3"/>
  <c r="L14" i="3"/>
  <c r="K14" i="3"/>
  <c r="M14" i="3"/>
  <c r="N14" i="3"/>
  <c r="O14" i="3"/>
  <c r="P14" i="3"/>
  <c r="Q14" i="3"/>
  <c r="R14" i="3"/>
  <c r="S14" i="3"/>
  <c r="J34" i="3"/>
  <c r="M34" i="3"/>
  <c r="O34" i="3"/>
  <c r="N34" i="3"/>
  <c r="L34" i="3"/>
  <c r="K34" i="3"/>
  <c r="P34" i="3"/>
  <c r="Q34" i="3"/>
  <c r="R34" i="3"/>
  <c r="S34" i="3"/>
  <c r="H28" i="3"/>
  <c r="H16" i="2"/>
  <c r="A18" i="2"/>
  <c r="E17" i="2"/>
  <c r="F17" i="2" s="1"/>
  <c r="G17" i="2" s="1"/>
  <c r="B17" i="2"/>
  <c r="C17" i="2" s="1"/>
  <c r="D17" i="2" s="1"/>
  <c r="B56" i="3"/>
  <c r="C56" i="3" s="1"/>
  <c r="D56" i="3" s="1"/>
  <c r="E56" i="3"/>
  <c r="F56" i="3" s="1"/>
  <c r="G56" i="3" s="1"/>
  <c r="H55" i="3"/>
  <c r="I35" i="3"/>
  <c r="A30" i="3"/>
  <c r="E29" i="3"/>
  <c r="F29" i="3" s="1"/>
  <c r="G29" i="3" s="1"/>
  <c r="B29" i="3"/>
  <c r="C29" i="3" s="1"/>
  <c r="D29" i="3" s="1"/>
  <c r="B15" i="3"/>
  <c r="C15" i="3" s="1"/>
  <c r="D15" i="3" s="1"/>
  <c r="E15" i="3"/>
  <c r="F15" i="3" s="1"/>
  <c r="G15" i="3" s="1"/>
  <c r="H14" i="3"/>
  <c r="H13" i="1"/>
  <c r="B14" i="1"/>
  <c r="C14" i="1" s="1"/>
  <c r="D14" i="1" s="1"/>
  <c r="E14" i="1"/>
  <c r="F14" i="1" s="1"/>
  <c r="G14" i="1" s="1"/>
  <c r="A15" i="1"/>
  <c r="I15" i="1" s="1"/>
  <c r="H21" i="4" l="1"/>
  <c r="B22" i="4" a="1"/>
  <c r="B22" i="4" s="1"/>
  <c r="C22" i="4" s="1"/>
  <c r="D22" i="4" s="1"/>
  <c r="E22" i="4" a="1"/>
  <c r="E22" i="4" s="1"/>
  <c r="F22" i="4" s="1"/>
  <c r="G22" i="4" s="1"/>
  <c r="I22" i="4"/>
  <c r="J22" i="4"/>
  <c r="A23" i="4"/>
  <c r="B110" i="3"/>
  <c r="B159" i="3" s="1"/>
  <c r="D109" i="3"/>
  <c r="H109" i="3"/>
  <c r="L109" i="3"/>
  <c r="F109" i="3"/>
  <c r="J109" i="3"/>
  <c r="N109" i="3"/>
  <c r="I109" i="3"/>
  <c r="K109" i="3"/>
  <c r="C109" i="3"/>
  <c r="E109" i="3"/>
  <c r="M109" i="3"/>
  <c r="G109" i="3"/>
  <c r="B148" i="3"/>
  <c r="D147" i="3"/>
  <c r="H147" i="3"/>
  <c r="L147" i="3"/>
  <c r="I147" i="3"/>
  <c r="N147" i="3"/>
  <c r="E147" i="3"/>
  <c r="J147" i="3"/>
  <c r="F147" i="3"/>
  <c r="K147" i="3"/>
  <c r="G147" i="3"/>
  <c r="M147" i="3"/>
  <c r="C147" i="3"/>
  <c r="J35" i="3"/>
  <c r="L35" i="3"/>
  <c r="K35" i="3"/>
  <c r="O35" i="3"/>
  <c r="N35" i="3"/>
  <c r="M35" i="3"/>
  <c r="P35" i="3"/>
  <c r="Q35" i="3"/>
  <c r="R35" i="3"/>
  <c r="S35" i="3"/>
  <c r="I16" i="3"/>
  <c r="J15" i="3"/>
  <c r="K15" i="3"/>
  <c r="L15" i="3"/>
  <c r="M15" i="3"/>
  <c r="N15" i="3"/>
  <c r="O15" i="3"/>
  <c r="P15" i="3"/>
  <c r="Q15" i="3"/>
  <c r="R15" i="3"/>
  <c r="S15" i="3"/>
  <c r="H29" i="3"/>
  <c r="H14" i="1"/>
  <c r="H17" i="2"/>
  <c r="A19" i="2"/>
  <c r="B18" i="2"/>
  <c r="C18" i="2" s="1"/>
  <c r="D18" i="2" s="1"/>
  <c r="E18" i="2"/>
  <c r="F18" i="2" s="1"/>
  <c r="G18" i="2" s="1"/>
  <c r="H56" i="3"/>
  <c r="B57" i="3"/>
  <c r="C57" i="3" s="1"/>
  <c r="D57" i="3" s="1"/>
  <c r="E57" i="3"/>
  <c r="F57" i="3" s="1"/>
  <c r="G57" i="3" s="1"/>
  <c r="I36" i="3"/>
  <c r="A31" i="3"/>
  <c r="E30" i="3"/>
  <c r="F30" i="3" s="1"/>
  <c r="G30" i="3" s="1"/>
  <c r="B30" i="3"/>
  <c r="C30" i="3" s="1"/>
  <c r="D30" i="3" s="1"/>
  <c r="B16" i="3"/>
  <c r="C16" i="3" s="1"/>
  <c r="D16" i="3" s="1"/>
  <c r="E16" i="3"/>
  <c r="F16" i="3" s="1"/>
  <c r="G16" i="3" s="1"/>
  <c r="H15" i="3"/>
  <c r="B15" i="1"/>
  <c r="C15" i="1" s="1"/>
  <c r="D15" i="1" s="1"/>
  <c r="E15" i="1"/>
  <c r="F15" i="1" s="1"/>
  <c r="G15" i="1" s="1"/>
  <c r="A16" i="1"/>
  <c r="I16" i="1" s="1"/>
  <c r="H22" i="4" l="1"/>
  <c r="B23" i="4" a="1"/>
  <c r="B23" i="4" s="1"/>
  <c r="C23" i="4" s="1"/>
  <c r="D23" i="4" s="1"/>
  <c r="E23" i="4" a="1"/>
  <c r="E23" i="4" s="1"/>
  <c r="F23" i="4" s="1"/>
  <c r="G23" i="4" s="1"/>
  <c r="I23" i="4"/>
  <c r="J23" i="4"/>
  <c r="A24" i="4"/>
  <c r="H18" i="2"/>
  <c r="B149" i="3"/>
  <c r="E148" i="3"/>
  <c r="I148" i="3"/>
  <c r="M148" i="3"/>
  <c r="H148" i="3"/>
  <c r="N148" i="3"/>
  <c r="C148" i="3"/>
  <c r="D148" i="3"/>
  <c r="J148" i="3"/>
  <c r="F148" i="3"/>
  <c r="K148" i="3"/>
  <c r="L148" i="3"/>
  <c r="G148" i="3"/>
  <c r="B111" i="3"/>
  <c r="F110" i="3"/>
  <c r="J110" i="3"/>
  <c r="N110" i="3"/>
  <c r="G110" i="3"/>
  <c r="K110" i="3"/>
  <c r="C110" i="3"/>
  <c r="I110" i="3"/>
  <c r="D110" i="3"/>
  <c r="H110" i="3"/>
  <c r="L110" i="3"/>
  <c r="E110" i="3"/>
  <c r="M110" i="3"/>
  <c r="K36" i="3"/>
  <c r="J36" i="3"/>
  <c r="O36" i="3"/>
  <c r="M36" i="3"/>
  <c r="L36" i="3"/>
  <c r="N36" i="3"/>
  <c r="P36" i="3"/>
  <c r="Q36" i="3"/>
  <c r="R36" i="3"/>
  <c r="S36" i="3"/>
  <c r="I17" i="3"/>
  <c r="J16" i="3"/>
  <c r="K16" i="3"/>
  <c r="L16" i="3"/>
  <c r="M16" i="3"/>
  <c r="N16" i="3"/>
  <c r="O16" i="3"/>
  <c r="P16" i="3"/>
  <c r="Q16" i="3"/>
  <c r="R16" i="3"/>
  <c r="S16" i="3"/>
  <c r="H30" i="3"/>
  <c r="H15" i="1"/>
  <c r="A20" i="2"/>
  <c r="B19" i="2"/>
  <c r="C19" i="2" s="1"/>
  <c r="D19" i="2" s="1"/>
  <c r="E19" i="2"/>
  <c r="F19" i="2" s="1"/>
  <c r="G19" i="2" s="1"/>
  <c r="H19" i="2" s="1"/>
  <c r="B58" i="3"/>
  <c r="C58" i="3" s="1"/>
  <c r="D58" i="3" s="1"/>
  <c r="E58" i="3"/>
  <c r="F58" i="3" s="1"/>
  <c r="G58" i="3" s="1"/>
  <c r="H57" i="3"/>
  <c r="I37" i="3"/>
  <c r="A32" i="3"/>
  <c r="E31" i="3"/>
  <c r="F31" i="3" s="1"/>
  <c r="G31" i="3" s="1"/>
  <c r="B31" i="3"/>
  <c r="C31" i="3" s="1"/>
  <c r="D31" i="3" s="1"/>
  <c r="B17" i="3"/>
  <c r="C17" i="3" s="1"/>
  <c r="D17" i="3" s="1"/>
  <c r="E17" i="3"/>
  <c r="F17" i="3" s="1"/>
  <c r="G17" i="3" s="1"/>
  <c r="H16" i="3"/>
  <c r="A17" i="1"/>
  <c r="I17" i="1" s="1"/>
  <c r="E16" i="1"/>
  <c r="F16" i="1" s="1"/>
  <c r="G16" i="1" s="1"/>
  <c r="B16" i="1"/>
  <c r="C16" i="1" s="1"/>
  <c r="D16" i="1" s="1"/>
  <c r="H23" i="4" l="1"/>
  <c r="B24" i="4" a="1"/>
  <c r="B24" i="4" s="1"/>
  <c r="C24" i="4" s="1"/>
  <c r="D24" i="4" s="1"/>
  <c r="E24" i="4" a="1"/>
  <c r="E24" i="4" s="1"/>
  <c r="F24" i="4" s="1"/>
  <c r="G24" i="4" s="1"/>
  <c r="A25" i="4"/>
  <c r="I24" i="4"/>
  <c r="J24" i="4"/>
  <c r="B112" i="3"/>
  <c r="B160" i="3" s="1"/>
  <c r="F111" i="3"/>
  <c r="J111" i="3"/>
  <c r="N111" i="3"/>
  <c r="G111" i="3"/>
  <c r="K111" i="3"/>
  <c r="D111" i="3"/>
  <c r="H111" i="3"/>
  <c r="L111" i="3"/>
  <c r="M111" i="3"/>
  <c r="E111" i="3"/>
  <c r="I111" i="3"/>
  <c r="C111" i="3"/>
  <c r="B150" i="3"/>
  <c r="F149" i="3"/>
  <c r="J149" i="3"/>
  <c r="N149" i="3"/>
  <c r="H149" i="3"/>
  <c r="M149" i="3"/>
  <c r="D149" i="3"/>
  <c r="I149" i="3"/>
  <c r="E149" i="3"/>
  <c r="K149" i="3"/>
  <c r="C149" i="3"/>
  <c r="G149" i="3"/>
  <c r="L149" i="3"/>
  <c r="J17" i="3"/>
  <c r="I18" i="3"/>
  <c r="K17" i="3"/>
  <c r="L17" i="3"/>
  <c r="M17" i="3"/>
  <c r="N17" i="3"/>
  <c r="O17" i="3"/>
  <c r="P17" i="3"/>
  <c r="Q17" i="3"/>
  <c r="R17" i="3"/>
  <c r="S17" i="3"/>
  <c r="J37" i="3"/>
  <c r="N37" i="3"/>
  <c r="K37" i="3"/>
  <c r="O37" i="3"/>
  <c r="L37" i="3"/>
  <c r="M37" i="3"/>
  <c r="P37" i="3"/>
  <c r="Q37" i="3"/>
  <c r="R37" i="3"/>
  <c r="S37" i="3"/>
  <c r="H31" i="3"/>
  <c r="B20" i="2"/>
  <c r="C20" i="2" s="1"/>
  <c r="D20" i="2" s="1"/>
  <c r="E20" i="2"/>
  <c r="F20" i="2" s="1"/>
  <c r="G20" i="2" s="1"/>
  <c r="H20" i="2" s="1"/>
  <c r="H58" i="3"/>
  <c r="B59" i="3"/>
  <c r="C59" i="3" s="1"/>
  <c r="D59" i="3" s="1"/>
  <c r="E59" i="3"/>
  <c r="F59" i="3" s="1"/>
  <c r="G59" i="3" s="1"/>
  <c r="I38" i="3"/>
  <c r="A33" i="3"/>
  <c r="B32" i="3"/>
  <c r="C32" i="3" s="1"/>
  <c r="D32" i="3" s="1"/>
  <c r="E32" i="3"/>
  <c r="F32" i="3" s="1"/>
  <c r="G32" i="3" s="1"/>
  <c r="H17" i="3"/>
  <c r="B18" i="3"/>
  <c r="C18" i="3" s="1"/>
  <c r="D18" i="3" s="1"/>
  <c r="E18" i="3"/>
  <c r="F18" i="3" s="1"/>
  <c r="G18" i="3" s="1"/>
  <c r="H16" i="1"/>
  <c r="E17" i="1"/>
  <c r="F17" i="1" s="1"/>
  <c r="G17" i="1" s="1"/>
  <c r="A18" i="1"/>
  <c r="I18" i="1" s="1"/>
  <c r="B17" i="1"/>
  <c r="C17" i="1" s="1"/>
  <c r="D17" i="1" s="1"/>
  <c r="H24" i="4" l="1"/>
  <c r="B25" i="4" a="1"/>
  <c r="B25" i="4" s="1"/>
  <c r="C25" i="4" s="1"/>
  <c r="D25" i="4" s="1"/>
  <c r="E25" i="4" a="1"/>
  <c r="E25" i="4" s="1"/>
  <c r="F25" i="4" s="1"/>
  <c r="G25" i="4" s="1"/>
  <c r="J25" i="4"/>
  <c r="A26" i="4"/>
  <c r="I25" i="4"/>
  <c r="G150" i="3"/>
  <c r="K150" i="3"/>
  <c r="H150" i="3"/>
  <c r="M150" i="3"/>
  <c r="D150" i="3"/>
  <c r="E150" i="3"/>
  <c r="J150" i="3"/>
  <c r="I150" i="3"/>
  <c r="L150" i="3"/>
  <c r="C150" i="3"/>
  <c r="N150" i="3"/>
  <c r="F150" i="3"/>
  <c r="B113" i="3"/>
  <c r="G112" i="3"/>
  <c r="K112" i="3"/>
  <c r="D112" i="3"/>
  <c r="H112" i="3"/>
  <c r="L112" i="3"/>
  <c r="E112" i="3"/>
  <c r="I112" i="3"/>
  <c r="M112" i="3"/>
  <c r="F112" i="3"/>
  <c r="J112" i="3"/>
  <c r="C112" i="3"/>
  <c r="N112" i="3"/>
  <c r="J18" i="3"/>
  <c r="I19" i="3"/>
  <c r="K18" i="3"/>
  <c r="L18" i="3"/>
  <c r="M18" i="3"/>
  <c r="N18" i="3"/>
  <c r="O18" i="3"/>
  <c r="P18" i="3"/>
  <c r="Q18" i="3"/>
  <c r="R18" i="3"/>
  <c r="S18" i="3"/>
  <c r="J38" i="3"/>
  <c r="M38" i="3"/>
  <c r="O38" i="3"/>
  <c r="L38" i="3"/>
  <c r="K38" i="3"/>
  <c r="N38" i="3"/>
  <c r="P38" i="3"/>
  <c r="Q38" i="3"/>
  <c r="R38" i="3"/>
  <c r="S38" i="3"/>
  <c r="B60" i="3"/>
  <c r="C60" i="3" s="1"/>
  <c r="D60" i="3" s="1"/>
  <c r="E60" i="3"/>
  <c r="F60" i="3" s="1"/>
  <c r="G60" i="3" s="1"/>
  <c r="H59" i="3"/>
  <c r="I39" i="3"/>
  <c r="H32" i="3"/>
  <c r="A34" i="3"/>
  <c r="E33" i="3"/>
  <c r="F33" i="3" s="1"/>
  <c r="G33" i="3" s="1"/>
  <c r="B33" i="3"/>
  <c r="C33" i="3" s="1"/>
  <c r="D33" i="3" s="1"/>
  <c r="H18" i="3"/>
  <c r="B19" i="3"/>
  <c r="C19" i="3" s="1"/>
  <c r="D19" i="3" s="1"/>
  <c r="E19" i="3"/>
  <c r="F19" i="3" s="1"/>
  <c r="G19" i="3" s="1"/>
  <c r="H17" i="1"/>
  <c r="B18" i="1"/>
  <c r="C18" i="1" s="1"/>
  <c r="D18" i="1" s="1"/>
  <c r="E18" i="1"/>
  <c r="F18" i="1" s="1"/>
  <c r="G18" i="1" s="1"/>
  <c r="A19" i="1"/>
  <c r="I19" i="1" s="1"/>
  <c r="H25" i="4" l="1"/>
  <c r="B26" i="4" a="1"/>
  <c r="B26" i="4" s="1"/>
  <c r="C26" i="4" s="1"/>
  <c r="D26" i="4" s="1"/>
  <c r="E26" i="4" a="1"/>
  <c r="E26" i="4" s="1"/>
  <c r="F26" i="4" s="1"/>
  <c r="G26" i="4" s="1"/>
  <c r="I26" i="4"/>
  <c r="J26" i="4"/>
  <c r="A27" i="4"/>
  <c r="B114" i="3"/>
  <c r="D113" i="3"/>
  <c r="H113" i="3"/>
  <c r="L113" i="3"/>
  <c r="E113" i="3"/>
  <c r="I113" i="3"/>
  <c r="M113" i="3"/>
  <c r="F113" i="3"/>
  <c r="G113" i="3"/>
  <c r="J113" i="3"/>
  <c r="K113" i="3"/>
  <c r="N113" i="3"/>
  <c r="C113" i="3"/>
  <c r="J19" i="3"/>
  <c r="K19" i="3"/>
  <c r="L19" i="3"/>
  <c r="M19" i="3"/>
  <c r="N19" i="3"/>
  <c r="O19" i="3"/>
  <c r="P19" i="3"/>
  <c r="Q19" i="3"/>
  <c r="R19" i="3"/>
  <c r="S19" i="3"/>
  <c r="J39" i="3"/>
  <c r="L39" i="3"/>
  <c r="K39" i="3"/>
  <c r="N39" i="3"/>
  <c r="O39" i="3"/>
  <c r="M39" i="3"/>
  <c r="P39" i="3"/>
  <c r="Q39" i="3"/>
  <c r="R39" i="3"/>
  <c r="S39" i="3"/>
  <c r="B61" i="3"/>
  <c r="C61" i="3" s="1"/>
  <c r="D61" i="3" s="1"/>
  <c r="E61" i="3"/>
  <c r="F61" i="3" s="1"/>
  <c r="G61" i="3" s="1"/>
  <c r="H60" i="3"/>
  <c r="H33" i="3"/>
  <c r="A35" i="3"/>
  <c r="A36" i="3" s="1"/>
  <c r="E34" i="3"/>
  <c r="F34" i="3" s="1"/>
  <c r="G34" i="3" s="1"/>
  <c r="B34" i="3"/>
  <c r="C34" i="3" s="1"/>
  <c r="D34" i="3" s="1"/>
  <c r="H19" i="3"/>
  <c r="B20" i="3"/>
  <c r="C20" i="3" s="1"/>
  <c r="D20" i="3" s="1"/>
  <c r="E20" i="3"/>
  <c r="F20" i="3" s="1"/>
  <c r="G20" i="3" s="1"/>
  <c r="H18" i="1"/>
  <c r="B19" i="1"/>
  <c r="C19" i="1" s="1"/>
  <c r="D19" i="1" s="1"/>
  <c r="A20" i="1"/>
  <c r="I20" i="1" s="1"/>
  <c r="E19" i="1"/>
  <c r="F19" i="1" s="1"/>
  <c r="G19" i="1" s="1"/>
  <c r="H26" i="4" l="1"/>
  <c r="B27" i="4" a="1"/>
  <c r="B27" i="4" s="1"/>
  <c r="C27" i="4" s="1"/>
  <c r="D27" i="4" s="1"/>
  <c r="E27" i="4" a="1"/>
  <c r="E27" i="4" s="1"/>
  <c r="F27" i="4" s="1"/>
  <c r="G27" i="4" s="1"/>
  <c r="I27" i="4"/>
  <c r="J27" i="4"/>
  <c r="A28" i="4"/>
  <c r="B115" i="3"/>
  <c r="B161" i="3" s="1"/>
  <c r="E114" i="3"/>
  <c r="I114" i="3"/>
  <c r="M114" i="3"/>
  <c r="F114" i="3"/>
  <c r="J114" i="3"/>
  <c r="N114" i="3"/>
  <c r="D114" i="3"/>
  <c r="L114" i="3"/>
  <c r="G114" i="3"/>
  <c r="H114" i="3"/>
  <c r="K114" i="3"/>
  <c r="C114" i="3"/>
  <c r="E36" i="3"/>
  <c r="F36" i="3" s="1"/>
  <c r="G36" i="3" s="1"/>
  <c r="A37" i="3"/>
  <c r="B36" i="3"/>
  <c r="C36" i="3" s="1"/>
  <c r="D36" i="3" s="1"/>
  <c r="H61" i="3"/>
  <c r="B35" i="3"/>
  <c r="C35" i="3" s="1"/>
  <c r="D35" i="3" s="1"/>
  <c r="E35" i="3"/>
  <c r="F35" i="3" s="1"/>
  <c r="G35" i="3" s="1"/>
  <c r="H34" i="3"/>
  <c r="H20" i="3"/>
  <c r="H19" i="1"/>
  <c r="A21" i="1"/>
  <c r="I21" i="1" s="1"/>
  <c r="B20" i="1"/>
  <c r="C20" i="1" s="1"/>
  <c r="D20" i="1" s="1"/>
  <c r="E20" i="1"/>
  <c r="F20" i="1" s="1"/>
  <c r="G20" i="1" s="1"/>
  <c r="H27" i="4" l="1"/>
  <c r="B28" i="4" a="1"/>
  <c r="B28" i="4" s="1"/>
  <c r="C28" i="4" s="1"/>
  <c r="D28" i="4" s="1"/>
  <c r="E28" i="4" a="1"/>
  <c r="E28" i="4" s="1"/>
  <c r="F28" i="4" s="1"/>
  <c r="G28" i="4" s="1"/>
  <c r="A29" i="4"/>
  <c r="I28" i="4"/>
  <c r="J28" i="4"/>
  <c r="B116" i="3"/>
  <c r="F115" i="3"/>
  <c r="J115" i="3"/>
  <c r="N115" i="3"/>
  <c r="G115" i="3"/>
  <c r="K115" i="3"/>
  <c r="I115" i="3"/>
  <c r="D115" i="3"/>
  <c r="L115" i="3"/>
  <c r="E115" i="3"/>
  <c r="M115" i="3"/>
  <c r="H115" i="3"/>
  <c r="C115" i="3"/>
  <c r="B37" i="3"/>
  <c r="C37" i="3" s="1"/>
  <c r="D37" i="3" s="1"/>
  <c r="E37" i="3"/>
  <c r="F37" i="3" s="1"/>
  <c r="G37" i="3" s="1"/>
  <c r="A38" i="3"/>
  <c r="H36" i="3"/>
  <c r="H35" i="3"/>
  <c r="H20" i="1"/>
  <c r="E21" i="1"/>
  <c r="F21" i="1" s="1"/>
  <c r="G21" i="1" s="1"/>
  <c r="A22" i="1"/>
  <c r="I22" i="1" s="1"/>
  <c r="B21" i="1"/>
  <c r="C21" i="1" s="1"/>
  <c r="D21" i="1" s="1"/>
  <c r="H28" i="4" l="1"/>
  <c r="B29" i="4" a="1"/>
  <c r="B29" i="4" s="1"/>
  <c r="C29" i="4" s="1"/>
  <c r="D29" i="4" s="1"/>
  <c r="E29" i="4" a="1"/>
  <c r="E29" i="4" s="1"/>
  <c r="F29" i="4" s="1"/>
  <c r="G29" i="4" s="1"/>
  <c r="A30" i="4"/>
  <c r="J29" i="4"/>
  <c r="I29" i="4"/>
  <c r="B117" i="3"/>
  <c r="G116" i="3"/>
  <c r="K116" i="3"/>
  <c r="D116" i="3"/>
  <c r="H116" i="3"/>
  <c r="L116" i="3"/>
  <c r="F116" i="3"/>
  <c r="N116" i="3"/>
  <c r="I116" i="3"/>
  <c r="J116" i="3"/>
  <c r="M116" i="3"/>
  <c r="C116" i="3"/>
  <c r="E116" i="3"/>
  <c r="H37" i="3"/>
  <c r="E38" i="3"/>
  <c r="F38" i="3" s="1"/>
  <c r="G38" i="3" s="1"/>
  <c r="B38" i="3"/>
  <c r="C38" i="3" s="1"/>
  <c r="D38" i="3" s="1"/>
  <c r="A39" i="3"/>
  <c r="H21" i="1"/>
  <c r="B22" i="1"/>
  <c r="C22" i="1" s="1"/>
  <c r="D22" i="1" s="1"/>
  <c r="E22" i="1"/>
  <c r="F22" i="1" s="1"/>
  <c r="G22" i="1" s="1"/>
  <c r="A23" i="1"/>
  <c r="I23" i="1" s="1"/>
  <c r="H29" i="4" l="1"/>
  <c r="B30" i="4" a="1"/>
  <c r="B30" i="4" s="1"/>
  <c r="C30" i="4" s="1"/>
  <c r="D30" i="4" s="1"/>
  <c r="E30" i="4" a="1"/>
  <c r="E30" i="4" s="1"/>
  <c r="F30" i="4" s="1"/>
  <c r="G30" i="4" s="1"/>
  <c r="J30" i="4"/>
  <c r="I30" i="4"/>
  <c r="A31" i="4"/>
  <c r="B118" i="3"/>
  <c r="B162" i="3" s="1"/>
  <c r="D117" i="3"/>
  <c r="H117" i="3"/>
  <c r="L117" i="3"/>
  <c r="E117" i="3"/>
  <c r="I117" i="3"/>
  <c r="M117" i="3"/>
  <c r="K117" i="3"/>
  <c r="F117" i="3"/>
  <c r="N117" i="3"/>
  <c r="G117" i="3"/>
  <c r="J117" i="3"/>
  <c r="C117" i="3"/>
  <c r="H38" i="3"/>
  <c r="A40" i="3"/>
  <c r="B39" i="3"/>
  <c r="C39" i="3" s="1"/>
  <c r="D39" i="3" s="1"/>
  <c r="E39" i="3"/>
  <c r="F39" i="3" s="1"/>
  <c r="G39" i="3" s="1"/>
  <c r="H22" i="1"/>
  <c r="B23" i="1"/>
  <c r="C23" i="1" s="1"/>
  <c r="D23" i="1" s="1"/>
  <c r="E23" i="1"/>
  <c r="F23" i="1" s="1"/>
  <c r="G23" i="1" s="1"/>
  <c r="A24" i="1"/>
  <c r="I24" i="1" s="1"/>
  <c r="H30" i="4" l="1"/>
  <c r="B31" i="4" a="1"/>
  <c r="B31" i="4" s="1"/>
  <c r="C31" i="4" s="1"/>
  <c r="D31" i="4" s="1"/>
  <c r="E31" i="4" a="1"/>
  <c r="E31" i="4" s="1"/>
  <c r="F31" i="4" s="1"/>
  <c r="G31" i="4" s="1"/>
  <c r="I31" i="4"/>
  <c r="J31" i="4"/>
  <c r="A32" i="4"/>
  <c r="H23" i="1"/>
  <c r="H39" i="3"/>
  <c r="B119" i="3"/>
  <c r="E118" i="3"/>
  <c r="I118" i="3"/>
  <c r="M118" i="3"/>
  <c r="F118" i="3"/>
  <c r="J118" i="3"/>
  <c r="N118" i="3"/>
  <c r="H118" i="3"/>
  <c r="K118" i="3"/>
  <c r="D118" i="3"/>
  <c r="L118" i="3"/>
  <c r="G118" i="3"/>
  <c r="C118" i="3"/>
  <c r="A41" i="3"/>
  <c r="B40" i="3"/>
  <c r="C40" i="3" s="1"/>
  <c r="D40" i="3" s="1"/>
  <c r="E40" i="3"/>
  <c r="F40" i="3" s="1"/>
  <c r="G40" i="3" s="1"/>
  <c r="A25" i="1"/>
  <c r="I25" i="1" s="1"/>
  <c r="E24" i="1"/>
  <c r="F24" i="1" s="1"/>
  <c r="G24" i="1" s="1"/>
  <c r="B24" i="1"/>
  <c r="C24" i="1" s="1"/>
  <c r="D24" i="1" s="1"/>
  <c r="H31" i="4" l="1"/>
  <c r="B32" i="4" a="1"/>
  <c r="B32" i="4" s="1"/>
  <c r="C32" i="4" s="1"/>
  <c r="D32" i="4" s="1"/>
  <c r="E32" i="4" a="1"/>
  <c r="E32" i="4" s="1"/>
  <c r="F32" i="4" s="1"/>
  <c r="G32" i="4" s="1"/>
  <c r="J32" i="4"/>
  <c r="A33" i="4"/>
  <c r="I32" i="4"/>
  <c r="B120" i="3"/>
  <c r="F119" i="3"/>
  <c r="J119" i="3"/>
  <c r="N119" i="3"/>
  <c r="G119" i="3"/>
  <c r="K119" i="3"/>
  <c r="E119" i="3"/>
  <c r="M119" i="3"/>
  <c r="H119" i="3"/>
  <c r="I119" i="3"/>
  <c r="L119" i="3"/>
  <c r="D119" i="3"/>
  <c r="C119" i="3"/>
  <c r="H40" i="3"/>
  <c r="B41" i="3"/>
  <c r="C41" i="3" s="1"/>
  <c r="D41" i="3" s="1"/>
  <c r="A42" i="3"/>
  <c r="E41" i="3"/>
  <c r="F41" i="3" s="1"/>
  <c r="G41" i="3" s="1"/>
  <c r="H24" i="1"/>
  <c r="E25" i="1"/>
  <c r="F25" i="1" s="1"/>
  <c r="G25" i="1" s="1"/>
  <c r="A26" i="1"/>
  <c r="I26" i="1" s="1"/>
  <c r="B25" i="1"/>
  <c r="C25" i="1" s="1"/>
  <c r="D25" i="1" s="1"/>
  <c r="H32" i="4" l="1"/>
  <c r="B33" i="4" a="1"/>
  <c r="B33" i="4" s="1"/>
  <c r="C33" i="4" s="1"/>
  <c r="D33" i="4" s="1"/>
  <c r="E33" i="4" a="1"/>
  <c r="E33" i="4" s="1"/>
  <c r="F33" i="4" s="1"/>
  <c r="G33" i="4" s="1"/>
  <c r="A34" i="4"/>
  <c r="J33" i="4"/>
  <c r="I33" i="4"/>
  <c r="B121" i="3"/>
  <c r="B163" i="3" s="1"/>
  <c r="G120" i="3"/>
  <c r="K120" i="3"/>
  <c r="D120" i="3"/>
  <c r="H120" i="3"/>
  <c r="L120" i="3"/>
  <c r="J120" i="3"/>
  <c r="E120" i="3"/>
  <c r="M120" i="3"/>
  <c r="F120" i="3"/>
  <c r="N120" i="3"/>
  <c r="C120" i="3"/>
  <c r="I120" i="3"/>
  <c r="H41" i="3"/>
  <c r="E42" i="3"/>
  <c r="F42" i="3" s="1"/>
  <c r="G42" i="3" s="1"/>
  <c r="B42" i="3"/>
  <c r="C42" i="3" s="1"/>
  <c r="D42" i="3" s="1"/>
  <c r="A43" i="3"/>
  <c r="H25" i="1"/>
  <c r="B26" i="1"/>
  <c r="C26" i="1" s="1"/>
  <c r="D26" i="1" s="1"/>
  <c r="E26" i="1"/>
  <c r="F26" i="1" s="1"/>
  <c r="G26" i="1" s="1"/>
  <c r="A27" i="1"/>
  <c r="I27" i="1" s="1"/>
  <c r="H33" i="4" l="1"/>
  <c r="B34" i="4" a="1"/>
  <c r="B34" i="4" s="1"/>
  <c r="C34" i="4" s="1"/>
  <c r="D34" i="4" s="1"/>
  <c r="E34" i="4" a="1"/>
  <c r="E34" i="4" s="1"/>
  <c r="F34" i="4" s="1"/>
  <c r="G34" i="4" s="1"/>
  <c r="J34" i="4"/>
  <c r="I34" i="4"/>
  <c r="A35" i="4"/>
  <c r="B122" i="3"/>
  <c r="D121" i="3"/>
  <c r="H121" i="3"/>
  <c r="L121" i="3"/>
  <c r="E121" i="3"/>
  <c r="I121" i="3"/>
  <c r="M121" i="3"/>
  <c r="G121" i="3"/>
  <c r="J121" i="3"/>
  <c r="K121" i="3"/>
  <c r="F121" i="3"/>
  <c r="C121" i="3"/>
  <c r="N121" i="3"/>
  <c r="E43" i="3"/>
  <c r="F43" i="3" s="1"/>
  <c r="G43" i="3" s="1"/>
  <c r="B43" i="3"/>
  <c r="C43" i="3" s="1"/>
  <c r="D43" i="3" s="1"/>
  <c r="H42" i="3"/>
  <c r="H26" i="1"/>
  <c r="B27" i="1"/>
  <c r="C27" i="1" s="1"/>
  <c r="D27" i="1" s="1"/>
  <c r="A28" i="1"/>
  <c r="I28" i="1" s="1"/>
  <c r="E27" i="1"/>
  <c r="F27" i="1" s="1"/>
  <c r="G27" i="1" s="1"/>
  <c r="H34" i="4" l="1"/>
  <c r="B35" i="4" a="1"/>
  <c r="B35" i="4" s="1"/>
  <c r="C35" i="4" s="1"/>
  <c r="D35" i="4" s="1"/>
  <c r="E35" i="4" a="1"/>
  <c r="E35" i="4" s="1"/>
  <c r="F35" i="4" s="1"/>
  <c r="G35" i="4" s="1"/>
  <c r="I35" i="4"/>
  <c r="J35" i="4"/>
  <c r="A36" i="4"/>
  <c r="B123" i="3"/>
  <c r="E122" i="3"/>
  <c r="I122" i="3"/>
  <c r="M122" i="3"/>
  <c r="F122" i="3"/>
  <c r="J122" i="3"/>
  <c r="N122" i="3"/>
  <c r="D122" i="3"/>
  <c r="L122" i="3"/>
  <c r="G122" i="3"/>
  <c r="H122" i="3"/>
  <c r="K122" i="3"/>
  <c r="C122" i="3"/>
  <c r="H43" i="3"/>
  <c r="H27" i="1"/>
  <c r="A29" i="1"/>
  <c r="I29" i="1" s="1"/>
  <c r="B28" i="1"/>
  <c r="C28" i="1" s="1"/>
  <c r="D28" i="1" s="1"/>
  <c r="E28" i="1"/>
  <c r="F28" i="1" s="1"/>
  <c r="G28" i="1" s="1"/>
  <c r="H35" i="4" l="1"/>
  <c r="B36" i="4" a="1"/>
  <c r="B36" i="4" s="1"/>
  <c r="C36" i="4" s="1"/>
  <c r="D36" i="4" s="1"/>
  <c r="E36" i="4" a="1"/>
  <c r="E36" i="4" s="1"/>
  <c r="F36" i="4" s="1"/>
  <c r="G36" i="4" s="1"/>
  <c r="A37" i="4"/>
  <c r="J36" i="4"/>
  <c r="I36" i="4"/>
  <c r="B124" i="3"/>
  <c r="B164" i="3" s="1"/>
  <c r="F123" i="3"/>
  <c r="G123" i="3"/>
  <c r="K123" i="3"/>
  <c r="I123" i="3"/>
  <c r="N123" i="3"/>
  <c r="D123" i="3"/>
  <c r="J123" i="3"/>
  <c r="E123" i="3"/>
  <c r="L123" i="3"/>
  <c r="H123" i="3"/>
  <c r="M123" i="3"/>
  <c r="C123" i="3"/>
  <c r="H28" i="1"/>
  <c r="E29" i="1"/>
  <c r="F29" i="1" s="1"/>
  <c r="G29" i="1" s="1"/>
  <c r="A30" i="1"/>
  <c r="I30" i="1" s="1"/>
  <c r="B29" i="1"/>
  <c r="C29" i="1" s="1"/>
  <c r="D29" i="1" s="1"/>
  <c r="H36" i="4" l="1"/>
  <c r="A38" i="4"/>
  <c r="E37" i="4" a="1"/>
  <c r="E37" i="4" s="1"/>
  <c r="F37" i="4" s="1"/>
  <c r="G37" i="4" s="1"/>
  <c r="I37" i="4"/>
  <c r="B37" i="4" a="1"/>
  <c r="B37" i="4" s="1"/>
  <c r="C37" i="4" s="1"/>
  <c r="D37" i="4" s="1"/>
  <c r="J37" i="4"/>
  <c r="B125" i="3"/>
  <c r="D124" i="3"/>
  <c r="H124" i="3"/>
  <c r="L124" i="3"/>
  <c r="I124" i="3"/>
  <c r="N124" i="3"/>
  <c r="E124" i="3"/>
  <c r="J124" i="3"/>
  <c r="F124" i="3"/>
  <c r="K124" i="3"/>
  <c r="M124" i="3"/>
  <c r="C124" i="3"/>
  <c r="G124" i="3"/>
  <c r="H29" i="1"/>
  <c r="B30" i="1"/>
  <c r="C30" i="1" s="1"/>
  <c r="D30" i="1" s="1"/>
  <c r="E30" i="1"/>
  <c r="F30" i="1" s="1"/>
  <c r="G30" i="1" s="1"/>
  <c r="H37" i="4" l="1"/>
  <c r="A39" i="4"/>
  <c r="E38" i="4" a="1"/>
  <c r="E38" i="4" s="1"/>
  <c r="F38" i="4" s="1"/>
  <c r="G38" i="4" s="1"/>
  <c r="I38" i="4"/>
  <c r="B38" i="4" a="1"/>
  <c r="B38" i="4" s="1"/>
  <c r="C38" i="4" s="1"/>
  <c r="D38" i="4" s="1"/>
  <c r="J38" i="4"/>
  <c r="H30" i="1"/>
  <c r="B126" i="3"/>
  <c r="E125" i="3"/>
  <c r="I125" i="3"/>
  <c r="M125" i="3"/>
  <c r="H125" i="3"/>
  <c r="N125" i="3"/>
  <c r="D125" i="3"/>
  <c r="J125" i="3"/>
  <c r="F125" i="3"/>
  <c r="K125" i="3"/>
  <c r="G125" i="3"/>
  <c r="L125" i="3"/>
  <c r="C125" i="3"/>
  <c r="H38" i="4" l="1"/>
  <c r="A40" i="4"/>
  <c r="E39" i="4" a="1"/>
  <c r="E39" i="4" s="1"/>
  <c r="F39" i="4" s="1"/>
  <c r="G39" i="4" s="1"/>
  <c r="J39" i="4"/>
  <c r="I39" i="4"/>
  <c r="B39" i="4" a="1"/>
  <c r="B39" i="4" s="1"/>
  <c r="C39" i="4" s="1"/>
  <c r="D39" i="4" s="1"/>
  <c r="B127" i="3"/>
  <c r="F126" i="3"/>
  <c r="J126" i="3"/>
  <c r="N126" i="3"/>
  <c r="H126" i="3"/>
  <c r="M126" i="3"/>
  <c r="D126" i="3"/>
  <c r="I126" i="3"/>
  <c r="E126" i="3"/>
  <c r="K126" i="3"/>
  <c r="L126" i="3"/>
  <c r="C126" i="3"/>
  <c r="G126" i="3"/>
  <c r="H39" i="4" l="1"/>
  <c r="A41" i="4"/>
  <c r="B40" i="4" a="1"/>
  <c r="B40" i="4" s="1"/>
  <c r="C40" i="4" s="1"/>
  <c r="D40" i="4" s="1"/>
  <c r="J40" i="4"/>
  <c r="E40" i="4" a="1"/>
  <c r="E40" i="4" s="1"/>
  <c r="F40" i="4" s="1"/>
  <c r="G40" i="4" s="1"/>
  <c r="I40" i="4"/>
  <c r="B128" i="3"/>
  <c r="G127" i="3"/>
  <c r="K127" i="3"/>
  <c r="H127" i="3"/>
  <c r="M127" i="3"/>
  <c r="D127" i="3"/>
  <c r="I127" i="3"/>
  <c r="N127" i="3"/>
  <c r="E127" i="3"/>
  <c r="J127" i="3"/>
  <c r="F127" i="3"/>
  <c r="L127" i="3"/>
  <c r="C127" i="3"/>
  <c r="H40" i="4" l="1"/>
  <c r="A42" i="4"/>
  <c r="E41" i="4" a="1"/>
  <c r="E41" i="4" s="1"/>
  <c r="F41" i="4" s="1"/>
  <c r="G41" i="4" s="1"/>
  <c r="I41" i="4"/>
  <c r="B41" i="4" a="1"/>
  <c r="B41" i="4" s="1"/>
  <c r="C41" i="4" s="1"/>
  <c r="D41" i="4" s="1"/>
  <c r="J41" i="4"/>
  <c r="B129" i="3"/>
  <c r="D128" i="3"/>
  <c r="H128" i="3"/>
  <c r="L128" i="3"/>
  <c r="G128" i="3"/>
  <c r="M128" i="3"/>
  <c r="I128" i="3"/>
  <c r="N128" i="3"/>
  <c r="E128" i="3"/>
  <c r="J128" i="3"/>
  <c r="K128" i="3"/>
  <c r="C128" i="3"/>
  <c r="F128" i="3"/>
  <c r="H41" i="4" l="1"/>
  <c r="A43" i="4"/>
  <c r="E42" i="4" a="1"/>
  <c r="E42" i="4" s="1"/>
  <c r="F42" i="4" s="1"/>
  <c r="G42" i="4" s="1"/>
  <c r="I42" i="4"/>
  <c r="B42" i="4" a="1"/>
  <c r="B42" i="4" s="1"/>
  <c r="C42" i="4" s="1"/>
  <c r="D42" i="4" s="1"/>
  <c r="J42" i="4"/>
  <c r="B130" i="3"/>
  <c r="E129" i="3"/>
  <c r="I129" i="3"/>
  <c r="M129" i="3"/>
  <c r="G129" i="3"/>
  <c r="L129" i="3"/>
  <c r="H129" i="3"/>
  <c r="N129" i="3"/>
  <c r="D129" i="3"/>
  <c r="J129" i="3"/>
  <c r="F129" i="3"/>
  <c r="K129" i="3"/>
  <c r="C129" i="3"/>
  <c r="H42" i="4" l="1"/>
  <c r="A44" i="4"/>
  <c r="I43" i="4"/>
  <c r="B43" i="4" a="1"/>
  <c r="B43" i="4" s="1"/>
  <c r="C43" i="4" s="1"/>
  <c r="D43" i="4" s="1"/>
  <c r="J43" i="4"/>
  <c r="E43" i="4" a="1"/>
  <c r="E43" i="4" s="1"/>
  <c r="F43" i="4" s="1"/>
  <c r="G43" i="4" s="1"/>
  <c r="B131" i="3"/>
  <c r="F130" i="3"/>
  <c r="J130" i="3"/>
  <c r="N130" i="3"/>
  <c r="G130" i="3"/>
  <c r="L130" i="3"/>
  <c r="D130" i="3"/>
  <c r="I130" i="3"/>
  <c r="H130" i="3"/>
  <c r="K130" i="3"/>
  <c r="M130" i="3"/>
  <c r="C130" i="3"/>
  <c r="E130" i="3"/>
  <c r="H43" i="4" l="1"/>
  <c r="A45" i="4"/>
  <c r="B44" i="4" a="1"/>
  <c r="B44" i="4" s="1"/>
  <c r="C44" i="4" s="1"/>
  <c r="D44" i="4" s="1"/>
  <c r="J44" i="4"/>
  <c r="I44" i="4"/>
  <c r="E44" i="4" a="1"/>
  <c r="E44" i="4" s="1"/>
  <c r="F44" i="4" s="1"/>
  <c r="G44" i="4" s="1"/>
  <c r="B132" i="3"/>
  <c r="G131" i="3"/>
  <c r="K131" i="3"/>
  <c r="F131" i="3"/>
  <c r="L131" i="3"/>
  <c r="D131" i="3"/>
  <c r="I131" i="3"/>
  <c r="N131" i="3"/>
  <c r="H131" i="3"/>
  <c r="J131" i="3"/>
  <c r="M131" i="3"/>
  <c r="C131" i="3"/>
  <c r="E131" i="3"/>
  <c r="H44" i="4" l="1"/>
  <c r="E45" i="4" a="1"/>
  <c r="E45" i="4" s="1"/>
  <c r="F45" i="4" s="1"/>
  <c r="G45" i="4" s="1"/>
  <c r="I45" i="4"/>
  <c r="B45" i="4" a="1"/>
  <c r="B45" i="4" s="1"/>
  <c r="C45" i="4" s="1"/>
  <c r="D45" i="4" s="1"/>
  <c r="J45" i="4"/>
  <c r="A46" i="4"/>
  <c r="D132" i="3"/>
  <c r="H132" i="3"/>
  <c r="L132" i="3"/>
  <c r="F132" i="3"/>
  <c r="K132" i="3"/>
  <c r="I132" i="3"/>
  <c r="N132" i="3"/>
  <c r="G132" i="3"/>
  <c r="C132" i="3"/>
  <c r="J132" i="3"/>
  <c r="M132" i="3"/>
  <c r="E132" i="3"/>
  <c r="I46" i="4" l="1"/>
  <c r="J46" i="4"/>
  <c r="A47" i="4"/>
  <c r="E46" i="4" a="1"/>
  <c r="E46" i="4" s="1"/>
  <c r="F46" i="4" s="1"/>
  <c r="G46" i="4" s="1"/>
  <c r="B46" i="4" a="1"/>
  <c r="B46" i="4" s="1"/>
  <c r="C46" i="4" s="1"/>
  <c r="D46" i="4" s="1"/>
  <c r="H45" i="4"/>
  <c r="H46" i="4" l="1"/>
  <c r="I47" i="4"/>
  <c r="J47" i="4"/>
  <c r="B47" i="4" a="1"/>
  <c r="B47" i="4" s="1"/>
  <c r="C47" i="4" s="1"/>
  <c r="D47" i="4" s="1"/>
  <c r="E47" i="4" a="1"/>
  <c r="E47" i="4" s="1"/>
  <c r="F47" i="4" s="1"/>
  <c r="G47" i="4" s="1"/>
  <c r="A48" i="4"/>
  <c r="H47" i="4" l="1"/>
  <c r="I48" i="4"/>
  <c r="J48" i="4"/>
  <c r="A49" i="4"/>
  <c r="E48" i="4" a="1"/>
  <c r="E48" i="4" s="1"/>
  <c r="F48" i="4" s="1"/>
  <c r="G48" i="4" s="1"/>
  <c r="B48" i="4" a="1"/>
  <c r="B48" i="4" s="1"/>
  <c r="C48" i="4" s="1"/>
  <c r="D48" i="4" s="1"/>
  <c r="H48" i="4" l="1"/>
  <c r="I49" i="4"/>
  <c r="J49" i="4"/>
  <c r="B49" i="4" a="1"/>
  <c r="B49" i="4" s="1"/>
  <c r="C49" i="4" s="1"/>
  <c r="D49" i="4" s="1"/>
  <c r="A50" i="4"/>
  <c r="E49" i="4" a="1"/>
  <c r="E49" i="4" s="1"/>
  <c r="F49" i="4" s="1"/>
  <c r="G49" i="4" s="1"/>
  <c r="I50" i="4" l="1"/>
  <c r="J50" i="4"/>
  <c r="A51" i="4"/>
  <c r="E50" i="4" a="1"/>
  <c r="E50" i="4" s="1"/>
  <c r="F50" i="4" s="1"/>
  <c r="G50" i="4" s="1"/>
  <c r="B50" i="4" a="1"/>
  <c r="B50" i="4" s="1"/>
  <c r="C50" i="4" s="1"/>
  <c r="D50" i="4" s="1"/>
  <c r="H49" i="4"/>
  <c r="H50" i="4" l="1"/>
  <c r="I51" i="4"/>
  <c r="J51" i="4"/>
  <c r="B51" i="4" a="1"/>
  <c r="B51" i="4" s="1"/>
  <c r="C51" i="4" s="1"/>
  <c r="D51" i="4" s="1"/>
  <c r="E51" i="4" a="1"/>
  <c r="E51" i="4" s="1"/>
  <c r="F51" i="4" s="1"/>
  <c r="G51" i="4" s="1"/>
  <c r="A52" i="4"/>
  <c r="H51" i="4" l="1"/>
  <c r="I52" i="4"/>
  <c r="J52" i="4"/>
  <c r="A53" i="4"/>
  <c r="E52" i="4" a="1"/>
  <c r="E52" i="4" s="1"/>
  <c r="F52" i="4" s="1"/>
  <c r="G52" i="4" s="1"/>
  <c r="B52" i="4" a="1"/>
  <c r="B52" i="4" s="1"/>
  <c r="C52" i="4" s="1"/>
  <c r="D52" i="4" s="1"/>
  <c r="H52" i="4" l="1"/>
  <c r="I53" i="4"/>
  <c r="J53" i="4"/>
  <c r="B53" i="4" a="1"/>
  <c r="B53" i="4" s="1"/>
  <c r="C53" i="4" s="1"/>
  <c r="D53" i="4" s="1"/>
  <c r="A54" i="4"/>
  <c r="E53" i="4" a="1"/>
  <c r="E53" i="4" s="1"/>
  <c r="F53" i="4" s="1"/>
  <c r="G53" i="4" s="1"/>
  <c r="I54" i="4" l="1"/>
  <c r="J54" i="4"/>
  <c r="A55" i="4"/>
  <c r="E54" i="4" a="1"/>
  <c r="E54" i="4" s="1"/>
  <c r="F54" i="4" s="1"/>
  <c r="G54" i="4" s="1"/>
  <c r="B54" i="4" a="1"/>
  <c r="B54" i="4" s="1"/>
  <c r="C54" i="4" s="1"/>
  <c r="D54" i="4" s="1"/>
  <c r="H53" i="4"/>
  <c r="H54" i="4" l="1"/>
  <c r="I55" i="4"/>
  <c r="J55" i="4"/>
  <c r="B55" i="4" a="1"/>
  <c r="B55" i="4" s="1"/>
  <c r="C55" i="4" s="1"/>
  <c r="D55" i="4" s="1"/>
  <c r="E55" i="4" a="1"/>
  <c r="E55" i="4" s="1"/>
  <c r="F55" i="4" s="1"/>
  <c r="G55" i="4" s="1"/>
  <c r="A56" i="4"/>
  <c r="H55" i="4" l="1"/>
  <c r="I56" i="4"/>
  <c r="J56" i="4"/>
  <c r="A57" i="4"/>
  <c r="E56" i="4" a="1"/>
  <c r="E56" i="4" s="1"/>
  <c r="F56" i="4" s="1"/>
  <c r="G56" i="4" s="1"/>
  <c r="B56" i="4" a="1"/>
  <c r="B56" i="4" s="1"/>
  <c r="C56" i="4" s="1"/>
  <c r="D56" i="4" s="1"/>
  <c r="H56" i="4" l="1"/>
  <c r="I57" i="4"/>
  <c r="J57" i="4"/>
  <c r="B57" i="4" a="1"/>
  <c r="B57" i="4" s="1"/>
  <c r="C57" i="4" s="1"/>
  <c r="D57" i="4" s="1"/>
  <c r="A58" i="4"/>
  <c r="E57" i="4" a="1"/>
  <c r="E57" i="4" s="1"/>
  <c r="F57" i="4" s="1"/>
  <c r="G57" i="4" s="1"/>
  <c r="I58" i="4" l="1"/>
  <c r="J58" i="4"/>
  <c r="A59" i="4"/>
  <c r="E58" i="4" a="1"/>
  <c r="E58" i="4" s="1"/>
  <c r="F58" i="4" s="1"/>
  <c r="G58" i="4" s="1"/>
  <c r="B58" i="4" a="1"/>
  <c r="B58" i="4" s="1"/>
  <c r="C58" i="4" s="1"/>
  <c r="D58" i="4" s="1"/>
  <c r="H57" i="4"/>
  <c r="H58" i="4" l="1"/>
  <c r="I59" i="4"/>
  <c r="J59" i="4"/>
  <c r="B59" i="4" a="1"/>
  <c r="B59" i="4" s="1"/>
  <c r="C59" i="4" s="1"/>
  <c r="D59" i="4" s="1"/>
  <c r="E59" i="4" a="1"/>
  <c r="E59" i="4" s="1"/>
  <c r="F59" i="4" s="1"/>
  <c r="G59" i="4" s="1"/>
  <c r="A60" i="4"/>
  <c r="H59" i="4" l="1"/>
  <c r="I60" i="4"/>
  <c r="J60" i="4"/>
  <c r="A61" i="4"/>
  <c r="E60" i="4" a="1"/>
  <c r="E60" i="4" s="1"/>
  <c r="F60" i="4" s="1"/>
  <c r="G60" i="4" s="1"/>
  <c r="B60" i="4" a="1"/>
  <c r="B60" i="4" s="1"/>
  <c r="C60" i="4" s="1"/>
  <c r="D60" i="4" s="1"/>
  <c r="H60" i="4" l="1"/>
  <c r="I61" i="4"/>
  <c r="J61" i="4"/>
  <c r="B61" i="4" a="1"/>
  <c r="B61" i="4" s="1"/>
  <c r="C61" i="4" s="1"/>
  <c r="D61" i="4" s="1"/>
  <c r="E61" i="4" a="1"/>
  <c r="E61" i="4" s="1"/>
  <c r="F61" i="4" s="1"/>
  <c r="G61" i="4" s="1"/>
  <c r="A62" i="4"/>
  <c r="H61" i="4" l="1"/>
  <c r="I62" i="4"/>
  <c r="J62" i="4"/>
  <c r="A63" i="4"/>
  <c r="E62" i="4" a="1"/>
  <c r="E62" i="4" s="1"/>
  <c r="F62" i="4" s="1"/>
  <c r="G62" i="4" s="1"/>
  <c r="B62" i="4" a="1"/>
  <c r="B62" i="4" s="1"/>
  <c r="C62" i="4" s="1"/>
  <c r="D62" i="4" s="1"/>
  <c r="H62" i="4" l="1"/>
  <c r="I63" i="4"/>
  <c r="J63" i="4"/>
  <c r="B63" i="4" a="1"/>
  <c r="B63" i="4" s="1"/>
  <c r="C63" i="4" s="1"/>
  <c r="D63" i="4" s="1"/>
  <c r="A64" i="4"/>
  <c r="E63" i="4" a="1"/>
  <c r="E63" i="4" s="1"/>
  <c r="F63" i="4" s="1"/>
  <c r="G63" i="4" s="1"/>
  <c r="H63" i="4" l="1"/>
  <c r="I64" i="4"/>
  <c r="J64" i="4"/>
  <c r="A65" i="4"/>
  <c r="E64" i="4" a="1"/>
  <c r="E64" i="4" s="1"/>
  <c r="F64" i="4" s="1"/>
  <c r="G64" i="4" s="1"/>
  <c r="B64" i="4" a="1"/>
  <c r="B64" i="4" s="1"/>
  <c r="C64" i="4" s="1"/>
  <c r="D64" i="4" s="1"/>
  <c r="H64" i="4" l="1"/>
  <c r="I65" i="4"/>
  <c r="J65" i="4"/>
  <c r="B65" i="4" a="1"/>
  <c r="B65" i="4" s="1"/>
  <c r="C65" i="4" s="1"/>
  <c r="D65" i="4" s="1"/>
  <c r="E65" i="4" a="1"/>
  <c r="E65" i="4" s="1"/>
  <c r="F65" i="4" s="1"/>
  <c r="G65" i="4" s="1"/>
  <c r="A66" i="4"/>
  <c r="H65" i="4" l="1"/>
  <c r="I66" i="4"/>
  <c r="J66" i="4"/>
  <c r="A67" i="4"/>
  <c r="E66" i="4" a="1"/>
  <c r="E66" i="4" s="1"/>
  <c r="F66" i="4" s="1"/>
  <c r="G66" i="4" s="1"/>
  <c r="B66" i="4" a="1"/>
  <c r="B66" i="4" s="1"/>
  <c r="C66" i="4" s="1"/>
  <c r="D66" i="4" s="1"/>
  <c r="H66" i="4" l="1"/>
  <c r="I67" i="4"/>
  <c r="J67" i="4"/>
  <c r="B67" i="4" a="1"/>
  <c r="B67" i="4" s="1"/>
  <c r="C67" i="4" s="1"/>
  <c r="D67" i="4" s="1"/>
  <c r="A68" i="4"/>
  <c r="E67" i="4" a="1"/>
  <c r="E67" i="4" s="1"/>
  <c r="F67" i="4" s="1"/>
  <c r="G67" i="4" s="1"/>
  <c r="I68" i="4" l="1"/>
  <c r="J68" i="4"/>
  <c r="A69" i="4"/>
  <c r="E68" i="4" a="1"/>
  <c r="E68" i="4" s="1"/>
  <c r="F68" i="4" s="1"/>
  <c r="G68" i="4" s="1"/>
  <c r="B68" i="4" a="1"/>
  <c r="B68" i="4" s="1"/>
  <c r="C68" i="4" s="1"/>
  <c r="D68" i="4" s="1"/>
  <c r="H67" i="4"/>
  <c r="H68" i="4" l="1"/>
  <c r="I69" i="4"/>
  <c r="J69" i="4"/>
  <c r="B69" i="4" a="1"/>
  <c r="B69" i="4" s="1"/>
  <c r="C69" i="4" s="1"/>
  <c r="D69" i="4" s="1"/>
  <c r="A70" i="4"/>
  <c r="E69" i="4" a="1"/>
  <c r="E69" i="4" s="1"/>
  <c r="F69" i="4" s="1"/>
  <c r="G69" i="4" s="1"/>
  <c r="I70" i="4" l="1"/>
  <c r="J70" i="4"/>
  <c r="A71" i="4"/>
  <c r="E70" i="4" a="1"/>
  <c r="E70" i="4" s="1"/>
  <c r="F70" i="4" s="1"/>
  <c r="G70" i="4" s="1"/>
  <c r="B70" i="4" a="1"/>
  <c r="B70" i="4" s="1"/>
  <c r="C70" i="4" s="1"/>
  <c r="D70" i="4" s="1"/>
  <c r="H69" i="4"/>
  <c r="H70" i="4" l="1"/>
  <c r="I71" i="4"/>
  <c r="J71" i="4"/>
  <c r="B71" i="4" a="1"/>
  <c r="B71" i="4" s="1"/>
  <c r="C71" i="4" s="1"/>
  <c r="D71" i="4" s="1"/>
  <c r="A72" i="4"/>
  <c r="E71" i="4" a="1"/>
  <c r="E71" i="4" s="1"/>
  <c r="F71" i="4" s="1"/>
  <c r="G71" i="4" s="1"/>
  <c r="I72" i="4" l="1"/>
  <c r="J72" i="4"/>
  <c r="A73" i="4"/>
  <c r="E72" i="4" a="1"/>
  <c r="E72" i="4" s="1"/>
  <c r="F72" i="4" s="1"/>
  <c r="G72" i="4" s="1"/>
  <c r="B72" i="4" a="1"/>
  <c r="B72" i="4" s="1"/>
  <c r="C72" i="4" s="1"/>
  <c r="D72" i="4" s="1"/>
  <c r="H71" i="4"/>
  <c r="H72" i="4" l="1"/>
  <c r="I73" i="4"/>
  <c r="J73" i="4"/>
  <c r="B73" i="4" a="1"/>
  <c r="B73" i="4" s="1"/>
  <c r="C73" i="4" s="1"/>
  <c r="D73" i="4" s="1"/>
  <c r="A74" i="4"/>
  <c r="E73" i="4" a="1"/>
  <c r="E73" i="4" s="1"/>
  <c r="F73" i="4" s="1"/>
  <c r="G73" i="4" s="1"/>
  <c r="I74" i="4" l="1"/>
  <c r="J74" i="4"/>
  <c r="A75" i="4"/>
  <c r="E74" i="4" a="1"/>
  <c r="E74" i="4" s="1"/>
  <c r="F74" i="4" s="1"/>
  <c r="G74" i="4" s="1"/>
  <c r="B74" i="4" a="1"/>
  <c r="B74" i="4" s="1"/>
  <c r="C74" i="4" s="1"/>
  <c r="D74" i="4" s="1"/>
  <c r="H73" i="4"/>
  <c r="H74" i="4" l="1"/>
  <c r="I75" i="4"/>
  <c r="J75" i="4"/>
  <c r="B75" i="4" a="1"/>
  <c r="B75" i="4" s="1"/>
  <c r="C75" i="4" s="1"/>
  <c r="D75" i="4" s="1"/>
  <c r="A76" i="4"/>
  <c r="E75" i="4" a="1"/>
  <c r="E75" i="4" s="1"/>
  <c r="F75" i="4" s="1"/>
  <c r="G75" i="4" s="1"/>
  <c r="I76" i="4" l="1"/>
  <c r="J76" i="4"/>
  <c r="A77" i="4"/>
  <c r="E76" i="4" a="1"/>
  <c r="E76" i="4" s="1"/>
  <c r="F76" i="4" s="1"/>
  <c r="G76" i="4" s="1"/>
  <c r="B76" i="4" a="1"/>
  <c r="B76" i="4" s="1"/>
  <c r="C76" i="4" s="1"/>
  <c r="D76" i="4" s="1"/>
  <c r="H75" i="4"/>
  <c r="H76" i="4" l="1"/>
  <c r="I77" i="4"/>
  <c r="J77" i="4"/>
  <c r="B77" i="4" a="1"/>
  <c r="B77" i="4" s="1"/>
  <c r="C77" i="4" s="1"/>
  <c r="D77" i="4" s="1"/>
  <c r="E77" i="4" a="1"/>
  <c r="E77" i="4" s="1"/>
  <c r="F77" i="4" s="1"/>
  <c r="G77" i="4" s="1"/>
  <c r="H77" i="4" l="1"/>
</calcChain>
</file>

<file path=xl/sharedStrings.xml><?xml version="1.0" encoding="utf-8"?>
<sst xmlns="http://schemas.openxmlformats.org/spreadsheetml/2006/main" count="388" uniqueCount="292">
  <si>
    <t>bgAccel_ISF_weight:</t>
  </si>
  <si>
    <t>acce_ISF_old</t>
  </si>
  <si>
    <t>ISF_old</t>
  </si>
  <si>
    <t>InsReq_old</t>
  </si>
  <si>
    <t>acce_ISF_new</t>
  </si>
  <si>
    <t>ISF_new</t>
  </si>
  <si>
    <t>InsReq_new</t>
  </si>
  <si>
    <t>InsReq effect</t>
  </si>
  <si>
    <t>pp_ISF_weight:</t>
  </si>
  <si>
    <t>pp_ISF_old</t>
  </si>
  <si>
    <t>pp_ISF_new</t>
  </si>
  <si>
    <t>iF</t>
  </si>
  <si>
    <t>dura_ISF_weight:</t>
  </si>
  <si>
    <t>dura_ISF_old</t>
  </si>
  <si>
    <t>dura_ISF_new</t>
  </si>
  <si>
    <t>bgAccel_ISF tuning -</t>
  </si>
  <si>
    <t>dura_ISF tuning -</t>
  </si>
  <si>
    <t>pp_ISF tuning -</t>
  </si>
  <si>
    <t>target_bg</t>
  </si>
  <si>
    <r>
      <rPr>
        <sz val="11"/>
        <color rgb="FF7030A0"/>
        <rFont val="Arial"/>
        <family val="2"/>
      </rPr>
      <t>dura05</t>
    </r>
    <r>
      <rPr>
        <sz val="11"/>
        <color theme="1"/>
        <rFont val="Arial"/>
        <family val="2"/>
      </rPr>
      <t>;</t>
    </r>
    <r>
      <rPr>
        <sz val="11"/>
        <color theme="4" tint="-0.249977111117893"/>
        <rFont val="Arial"/>
        <family val="2"/>
      </rPr>
      <t>avg05</t>
    </r>
  </si>
  <si>
    <t xml:space="preserve"> =&gt; </t>
  </si>
  <si>
    <r>
      <rPr>
        <b/>
        <sz val="11"/>
        <color rgb="FFFF0000"/>
        <rFont val="Arial"/>
        <family val="2"/>
      </rPr>
      <t>iF factors</t>
    </r>
    <r>
      <rPr>
        <sz val="11"/>
        <color theme="1"/>
        <rFont val="Arial"/>
        <family val="2"/>
      </rPr>
      <t xml:space="preserve"> resulting at different </t>
    </r>
    <r>
      <rPr>
        <sz val="11"/>
        <color rgb="FF0070C0"/>
        <rFont val="Arial"/>
        <family val="2"/>
      </rPr>
      <t>avg05 (mg/dl.bg)</t>
    </r>
    <r>
      <rPr>
        <sz val="11"/>
        <color theme="1"/>
        <rFont val="Arial"/>
        <family val="2"/>
      </rPr>
      <t xml:space="preserve">, and </t>
    </r>
    <r>
      <rPr>
        <sz val="11"/>
        <color rgb="FF7030A0"/>
        <rFont val="Arial"/>
        <family val="2"/>
      </rPr>
      <t>duration (minutes)</t>
    </r>
  </si>
  <si>
    <t>Profil ISF (mg/dl/U)</t>
  </si>
  <si>
    <t>profile.ISF (mg/dl/U)</t>
  </si>
  <si>
    <t xml:space="preserve"> delta (mg/dl)</t>
  </si>
  <si>
    <r>
      <t xml:space="preserve">InsReq (U) @ </t>
    </r>
    <r>
      <rPr>
        <sz val="11"/>
        <color rgb="FFFF0000"/>
        <rFont val="Arial"/>
        <family val="2"/>
      </rPr>
      <t>iF</t>
    </r>
    <r>
      <rPr>
        <sz val="11"/>
        <color theme="0" tint="-0.499984740745262"/>
        <rFont val="Arial"/>
        <family val="2"/>
      </rPr>
      <t>=0</t>
    </r>
  </si>
  <si>
    <r>
      <rPr>
        <sz val="11"/>
        <color theme="0" tint="-0.499984740745262"/>
        <rFont val="Arial"/>
        <family val="2"/>
      </rPr>
      <t>InsReq (U) @</t>
    </r>
    <r>
      <rPr>
        <sz val="11"/>
        <color rgb="FFFF0000"/>
        <rFont val="Arial"/>
        <family val="2"/>
      </rPr>
      <t>delta</t>
    </r>
    <r>
      <rPr>
        <sz val="11"/>
        <color theme="0" tint="-0.499984740745262"/>
        <rFont val="Arial"/>
        <family val="2"/>
      </rPr>
      <t>=0</t>
    </r>
  </si>
  <si>
    <t>E3 vs.B3</t>
  </si>
  <si>
    <t xml:space="preserve">         Column (H) then shows the full effect of duraISF with the selected weight (E3)</t>
  </si>
  <si>
    <t xml:space="preserve">          for the investigated  _weight (E3): Enter 0 in (B3) </t>
  </si>
  <si>
    <t>Note: To determine not the incremental effect between two weights (E3 vs.B3), but the dura_ISF effect</t>
  </si>
  <si>
    <r>
      <t xml:space="preserve"> Use table (I21 x S39 or higher), input target_bg at (J21), then look up </t>
    </r>
    <r>
      <rPr>
        <sz val="11"/>
        <color rgb="FFFF0000"/>
        <rFont val="Arial"/>
        <family val="2"/>
      </rPr>
      <t>iF</t>
    </r>
    <r>
      <rPr>
        <sz val="11"/>
        <color theme="1"/>
        <rFont val="Arial"/>
        <family val="2"/>
      </rPr>
      <t xml:space="preserve"> for the observed</t>
    </r>
    <r>
      <rPr>
        <sz val="11"/>
        <color rgb="FF7030A0"/>
        <rFont val="Arial"/>
        <family val="2"/>
      </rPr>
      <t xml:space="preserve"> dura</t>
    </r>
    <r>
      <rPr>
        <sz val="11"/>
        <color theme="1"/>
        <rFont val="Arial"/>
        <family val="2"/>
      </rPr>
      <t xml:space="preserve"> </t>
    </r>
  </si>
  <si>
    <r>
      <t xml:space="preserve">         and </t>
    </r>
    <r>
      <rPr>
        <sz val="11"/>
        <color rgb="FF0070C0"/>
        <rFont val="Arial"/>
        <family val="2"/>
      </rPr>
      <t>avg05</t>
    </r>
    <r>
      <rPr>
        <sz val="11"/>
        <color theme="1"/>
        <rFont val="Arial"/>
        <family val="2"/>
      </rPr>
      <t xml:space="preserve">    =&gt; which "</t>
    </r>
    <r>
      <rPr>
        <sz val="11"/>
        <color rgb="FFFF0000"/>
        <rFont val="Arial"/>
        <family val="2"/>
      </rPr>
      <t>iF</t>
    </r>
    <r>
      <rPr>
        <sz val="11"/>
        <color theme="1"/>
        <rFont val="Arial"/>
        <family val="2"/>
      </rPr>
      <t xml:space="preserve"> line" applies in table (A3 x H61)</t>
    </r>
  </si>
  <si>
    <t>Note: To determine not the incremental effect between two weights (E3 vs.B3), but the pp_ISF effect</t>
  </si>
  <si>
    <t xml:space="preserve">         Column (H) then shows the full effect of ppISF with the selected weight (E3)</t>
  </si>
  <si>
    <t>(E3 vs.B3)</t>
  </si>
  <si>
    <t>Note: To determine not the incremental effect between two weights (E3 vs.B3), but the acce_ISF effect</t>
  </si>
  <si>
    <t xml:space="preserve">         Column (H) then shows the full effect of acce_ISF with the selected weight (E3)</t>
  </si>
  <si>
    <r>
      <t>=1+</t>
    </r>
    <r>
      <rPr>
        <sz val="8"/>
        <color rgb="FF0000FF"/>
        <rFont val="Arial"/>
        <family val="2"/>
      </rPr>
      <t>$A30</t>
    </r>
    <r>
      <rPr>
        <sz val="8"/>
        <color theme="1"/>
        <rFont val="Arial"/>
        <family val="2"/>
      </rPr>
      <t>*</t>
    </r>
    <r>
      <rPr>
        <sz val="8"/>
        <color rgb="FFFF0000"/>
        <rFont val="Arial"/>
        <family val="2"/>
      </rPr>
      <t>B$3</t>
    </r>
  </si>
  <si>
    <r>
      <t>=$B$1/</t>
    </r>
    <r>
      <rPr>
        <sz val="8"/>
        <color rgb="FF0000FF"/>
        <rFont val="Arial"/>
        <family val="2"/>
      </rPr>
      <t>B30</t>
    </r>
  </si>
  <si>
    <r>
      <t>=+</t>
    </r>
    <r>
      <rPr>
        <sz val="8"/>
        <color rgb="FF0000FF"/>
        <rFont val="Arial"/>
        <family val="2"/>
      </rPr>
      <t>$B$2</t>
    </r>
    <r>
      <rPr>
        <sz val="8"/>
        <color theme="1"/>
        <rFont val="Arial"/>
        <family val="2"/>
      </rPr>
      <t>*</t>
    </r>
    <r>
      <rPr>
        <sz val="8"/>
        <color rgb="FFFF0000"/>
        <rFont val="Arial"/>
        <family val="2"/>
      </rPr>
      <t>$B$1</t>
    </r>
    <r>
      <rPr>
        <sz val="8"/>
        <color theme="1"/>
        <rFont val="Arial"/>
        <family val="2"/>
      </rPr>
      <t>/</t>
    </r>
    <r>
      <rPr>
        <sz val="8"/>
        <color rgb="FFFF00FF"/>
        <rFont val="Arial"/>
        <family val="2"/>
      </rPr>
      <t>C30</t>
    </r>
  </si>
  <si>
    <t>"=G30/D30-1</t>
  </si>
  <si>
    <r>
      <t>=+</t>
    </r>
    <r>
      <rPr>
        <sz val="8"/>
        <color rgb="FF0000FF"/>
        <rFont val="Arial"/>
        <family val="2"/>
      </rPr>
      <t>$B$2</t>
    </r>
    <r>
      <rPr>
        <sz val="8"/>
        <color theme="1"/>
        <rFont val="Arial"/>
        <family val="2"/>
      </rPr>
      <t>*</t>
    </r>
    <r>
      <rPr>
        <sz val="8"/>
        <color rgb="FFFF0000"/>
        <rFont val="Arial"/>
        <family val="2"/>
      </rPr>
      <t>$B$1</t>
    </r>
    <r>
      <rPr>
        <sz val="8"/>
        <color theme="1"/>
        <rFont val="Arial"/>
        <family val="2"/>
      </rPr>
      <t>/</t>
    </r>
    <r>
      <rPr>
        <sz val="8"/>
        <color rgb="FFFF00FF"/>
        <rFont val="Arial"/>
        <family val="2"/>
      </rPr>
      <t>F30</t>
    </r>
  </si>
  <si>
    <r>
      <t>=$B$1/</t>
    </r>
    <r>
      <rPr>
        <sz val="8"/>
        <color rgb="FF0000FF"/>
        <rFont val="Arial"/>
        <family val="2"/>
      </rPr>
      <t>E30</t>
    </r>
  </si>
  <si>
    <r>
      <t>=1+</t>
    </r>
    <r>
      <rPr>
        <sz val="8"/>
        <color rgb="FF0000FF"/>
        <rFont val="Arial"/>
        <family val="2"/>
      </rPr>
      <t>$A30</t>
    </r>
    <r>
      <rPr>
        <sz val="8"/>
        <color theme="1"/>
        <rFont val="Arial"/>
        <family val="2"/>
      </rPr>
      <t>*</t>
    </r>
    <r>
      <rPr>
        <sz val="8"/>
        <color rgb="FFFF0000"/>
        <rFont val="Arial"/>
        <family val="2"/>
      </rPr>
      <t>E$3</t>
    </r>
  </si>
  <si>
    <t>formula  (line 30)</t>
  </si>
  <si>
    <t>ISF (mg/dl/U)</t>
  </si>
  <si>
    <t>for chart:</t>
  </si>
  <si>
    <r>
      <t>5 *</t>
    </r>
    <r>
      <rPr>
        <b/>
        <i/>
        <sz val="9"/>
        <color theme="0" tint="-0.249977111117893"/>
        <rFont val="Arial"/>
        <family val="2"/>
      </rPr>
      <t xml:space="preserve"> iF</t>
    </r>
  </si>
  <si>
    <t>compared to</t>
  </si>
  <si>
    <t>"old"</t>
  </si>
  <si>
    <t>"new" *)</t>
  </si>
  <si>
    <t xml:space="preserve">                 *) to see the full effect of this autoISF_weight, compare to zero (input in B3)</t>
  </si>
  <si>
    <r>
      <rPr>
        <sz val="11"/>
        <color rgb="FFE40EB6"/>
        <rFont val="Arial"/>
        <family val="2"/>
      </rPr>
      <t>*)</t>
    </r>
    <r>
      <rPr>
        <sz val="9"/>
        <color rgb="FFE40EB6"/>
        <rFont val="Arial"/>
        <family val="2"/>
      </rPr>
      <t xml:space="preserve"> </t>
    </r>
    <r>
      <rPr>
        <sz val="9"/>
        <color theme="1"/>
        <rFont val="Arial"/>
        <family val="2"/>
      </rPr>
      <t>compared to</t>
    </r>
  </si>
  <si>
    <r>
      <t xml:space="preserve">insReq (U) </t>
    </r>
    <r>
      <rPr>
        <sz val="11"/>
        <color rgb="FFE40EB6"/>
        <rFont val="Arial"/>
        <family val="2"/>
      </rPr>
      <t>**)</t>
    </r>
  </si>
  <si>
    <t xml:space="preserve">                 **) compared (scaled) to old insReq of </t>
  </si>
  <si>
    <t>U (input in B2)</t>
  </si>
  <si>
    <t xml:space="preserve">             **) compared (scaled) to old insReq of </t>
  </si>
  <si>
    <t xml:space="preserve">             *) to see the full effect of this autoISF_weight, compare to zero (input in B3)</t>
  </si>
  <si>
    <r>
      <t xml:space="preserve">                   </t>
    </r>
    <r>
      <rPr>
        <b/>
        <sz val="11"/>
        <color theme="1"/>
        <rFont val="Arial"/>
        <family val="2"/>
      </rPr>
      <t xml:space="preserve"> Effect </t>
    </r>
    <r>
      <rPr>
        <sz val="11"/>
        <color theme="1"/>
        <rFont val="Arial"/>
        <family val="2"/>
      </rPr>
      <t>on</t>
    </r>
    <r>
      <rPr>
        <b/>
        <sz val="11"/>
        <color theme="1"/>
        <rFont val="Arial"/>
        <family val="2"/>
      </rPr>
      <t xml:space="preserve"> ISF</t>
    </r>
    <r>
      <rPr>
        <sz val="11"/>
        <color theme="1"/>
        <rFont val="Arial"/>
        <family val="2"/>
      </rPr>
      <t xml:space="preserve"> and on</t>
    </r>
    <r>
      <rPr>
        <b/>
        <sz val="11"/>
        <color theme="1"/>
        <rFont val="Arial"/>
        <family val="2"/>
      </rPr>
      <t xml:space="preserve"> insReq</t>
    </r>
    <r>
      <rPr>
        <sz val="11"/>
        <color theme="1"/>
        <rFont val="Arial"/>
        <family val="2"/>
      </rPr>
      <t xml:space="preserve"> </t>
    </r>
    <r>
      <rPr>
        <sz val="11"/>
        <color rgb="FFFF0000"/>
        <rFont val="Arial"/>
        <family val="2"/>
      </rPr>
      <t>at different acceleration</t>
    </r>
  </si>
  <si>
    <r>
      <t xml:space="preserve">                   </t>
    </r>
    <r>
      <rPr>
        <b/>
        <sz val="11"/>
        <color theme="1"/>
        <rFont val="Arial"/>
        <family val="2"/>
      </rPr>
      <t xml:space="preserve"> </t>
    </r>
    <r>
      <rPr>
        <sz val="11"/>
        <color theme="1"/>
        <rFont val="Arial"/>
        <family val="2"/>
      </rPr>
      <t>Effect on</t>
    </r>
    <r>
      <rPr>
        <b/>
        <sz val="11"/>
        <color theme="1"/>
        <rFont val="Arial"/>
        <family val="2"/>
      </rPr>
      <t xml:space="preserve"> ISF</t>
    </r>
    <r>
      <rPr>
        <sz val="11"/>
        <color theme="1"/>
        <rFont val="Arial"/>
        <family val="2"/>
      </rPr>
      <t xml:space="preserve"> and on</t>
    </r>
    <r>
      <rPr>
        <b/>
        <sz val="11"/>
        <color theme="1"/>
        <rFont val="Arial"/>
        <family val="2"/>
      </rPr>
      <t xml:space="preserve"> insReq</t>
    </r>
    <r>
      <rPr>
        <sz val="11"/>
        <color theme="1"/>
        <rFont val="Arial"/>
        <family val="2"/>
      </rPr>
      <t xml:space="preserve"> </t>
    </r>
    <r>
      <rPr>
        <sz val="11"/>
        <color rgb="FFFF0000"/>
        <rFont val="Arial"/>
        <family val="2"/>
      </rPr>
      <t>at different bg deltas</t>
    </r>
  </si>
  <si>
    <r>
      <t xml:space="preserve">                   </t>
    </r>
    <r>
      <rPr>
        <b/>
        <sz val="11"/>
        <color theme="1"/>
        <rFont val="Arial"/>
        <family val="2"/>
      </rPr>
      <t xml:space="preserve"> </t>
    </r>
    <r>
      <rPr>
        <sz val="11"/>
        <color theme="1"/>
        <rFont val="Arial"/>
        <family val="2"/>
      </rPr>
      <t>Effect on</t>
    </r>
    <r>
      <rPr>
        <b/>
        <sz val="11"/>
        <color theme="1"/>
        <rFont val="Arial"/>
        <family val="2"/>
      </rPr>
      <t xml:space="preserve"> ISF</t>
    </r>
    <r>
      <rPr>
        <sz val="11"/>
        <color theme="1"/>
        <rFont val="Arial"/>
        <family val="2"/>
      </rPr>
      <t xml:space="preserve"> and on</t>
    </r>
    <r>
      <rPr>
        <b/>
        <sz val="11"/>
        <color theme="1"/>
        <rFont val="Arial"/>
        <family val="2"/>
      </rPr>
      <t xml:space="preserve"> insReq</t>
    </r>
    <r>
      <rPr>
        <sz val="11"/>
        <color theme="1"/>
        <rFont val="Arial"/>
        <family val="2"/>
      </rPr>
      <t xml:space="preserve"> </t>
    </r>
    <r>
      <rPr>
        <sz val="11"/>
        <color rgb="FFFF0000"/>
        <rFont val="Arial"/>
        <family val="2"/>
      </rPr>
      <t>at different iF ~ (avg.bg and duration)</t>
    </r>
  </si>
  <si>
    <r>
      <rPr>
        <sz val="11"/>
        <color rgb="FFE40EB6"/>
        <rFont val="Arial"/>
        <family val="2"/>
      </rPr>
      <t>*)</t>
    </r>
    <r>
      <rPr>
        <sz val="11"/>
        <color theme="1"/>
        <rFont val="Arial"/>
        <family val="2"/>
      </rPr>
      <t xml:space="preserve"> mg/dl</t>
    </r>
  </si>
  <si>
    <t>avg05 (mg/dl)</t>
  </si>
  <si>
    <t>duration of plateau (minutes)</t>
  </si>
  <si>
    <r>
      <t xml:space="preserve">                ***) profile_ISF</t>
    </r>
    <r>
      <rPr>
        <b/>
        <sz val="9"/>
        <color rgb="FFE40EB6"/>
        <rFont val="Arial"/>
        <family val="2"/>
      </rPr>
      <t>/autoISFmax</t>
    </r>
    <r>
      <rPr>
        <sz val="9"/>
        <color rgb="FFE40EB6"/>
        <rFont val="Arial"/>
        <family val="2"/>
      </rPr>
      <t xml:space="preserve"> is the lowest possible eff.ISF!</t>
    </r>
  </si>
  <si>
    <t xml:space="preserve">                 *) to see the full effect of this autoISF_weight, compare to zero (inputs in B3, E3)</t>
  </si>
  <si>
    <r>
      <t xml:space="preserve">          ***) profile_ISF/</t>
    </r>
    <r>
      <rPr>
        <b/>
        <sz val="10"/>
        <color rgb="FFE40EB6"/>
        <rFont val="Arial"/>
        <family val="2"/>
      </rPr>
      <t>autoISFmax</t>
    </r>
    <r>
      <rPr>
        <sz val="10"/>
        <color rgb="FFE40EB6"/>
        <rFont val="Arial"/>
        <family val="2"/>
      </rPr>
      <t xml:space="preserve"> is the lowest possible eff.ISF!</t>
    </r>
  </si>
  <si>
    <r>
      <t xml:space="preserve">            ***) profile_ISF/</t>
    </r>
    <r>
      <rPr>
        <b/>
        <sz val="10"/>
        <color rgb="FFE40EB6"/>
        <rFont val="Arial"/>
        <family val="2"/>
      </rPr>
      <t>autoISFmax</t>
    </r>
    <r>
      <rPr>
        <sz val="10"/>
        <color rgb="FFE40EB6"/>
        <rFont val="Arial"/>
        <family val="2"/>
      </rPr>
      <t xml:space="preserve"> is the lowest possible eff.ISF!</t>
    </r>
  </si>
  <si>
    <r>
      <t xml:space="preserve">    </t>
    </r>
    <r>
      <rPr>
        <b/>
        <sz val="11"/>
        <color rgb="FFFF0000"/>
        <rFont val="Arial"/>
        <family val="2"/>
      </rPr>
      <t xml:space="preserve"> iF </t>
    </r>
    <r>
      <rPr>
        <sz val="10"/>
        <color theme="1"/>
        <rFont val="Arial"/>
        <family val="2"/>
      </rPr>
      <t>resulting at different</t>
    </r>
    <r>
      <rPr>
        <sz val="10"/>
        <color rgb="FF7030A0"/>
        <rFont val="Arial"/>
        <family val="2"/>
      </rPr>
      <t xml:space="preserve"> duration</t>
    </r>
    <r>
      <rPr>
        <sz val="10"/>
        <color theme="1"/>
        <rFont val="Arial"/>
        <family val="2"/>
      </rPr>
      <t xml:space="preserve"> and </t>
    </r>
    <r>
      <rPr>
        <sz val="10"/>
        <color rgb="FF0070C0"/>
        <rFont val="Arial"/>
        <family val="2"/>
      </rPr>
      <t>height of bg plateau (avg05)</t>
    </r>
    <r>
      <rPr>
        <sz val="10"/>
        <color theme="1"/>
        <rFont val="Arial"/>
        <family val="2"/>
      </rPr>
      <t xml:space="preserve"> at target_bg =</t>
    </r>
    <r>
      <rPr>
        <sz val="11"/>
        <color theme="1"/>
        <rFont val="Arial"/>
        <family val="2"/>
      </rPr>
      <t xml:space="preserve"> </t>
    </r>
  </si>
  <si>
    <r>
      <t xml:space="preserve"> *)  input your target_bg in J21 and use diagram at observed </t>
    </r>
    <r>
      <rPr>
        <sz val="9"/>
        <color theme="4" tint="-0.249977111117893"/>
        <rFont val="Arial"/>
        <family val="2"/>
      </rPr>
      <t xml:space="preserve">plateau bg level </t>
    </r>
    <r>
      <rPr>
        <sz val="9"/>
        <color rgb="FFE40EB6"/>
        <rFont val="Arial"/>
        <family val="2"/>
      </rPr>
      <t>and</t>
    </r>
    <r>
      <rPr>
        <sz val="9"/>
        <color rgb="FF7030A0"/>
        <rFont val="Arial"/>
        <family val="2"/>
      </rPr>
      <t xml:space="preserve"> duration</t>
    </r>
    <r>
      <rPr>
        <sz val="9"/>
        <color rgb="FFE40EB6"/>
        <rFont val="Arial"/>
        <family val="2"/>
      </rPr>
      <t xml:space="preserve">, </t>
    </r>
  </si>
  <si>
    <r>
      <t xml:space="preserve">    </t>
    </r>
    <r>
      <rPr>
        <sz val="10"/>
        <color rgb="FFE40EB6"/>
        <rFont val="Arial"/>
        <family val="2"/>
      </rPr>
      <t>to see on which</t>
    </r>
    <r>
      <rPr>
        <b/>
        <sz val="10"/>
        <color rgb="FFFF0000"/>
        <rFont val="Arial"/>
        <family val="2"/>
      </rPr>
      <t xml:space="preserve"> iF</t>
    </r>
    <r>
      <rPr>
        <sz val="10"/>
        <color rgb="FFE40EB6"/>
        <rFont val="Arial"/>
        <family val="2"/>
      </rPr>
      <t xml:space="preserve"> curve you are. Then look up effects from dura, for weight as in E3 (vs. B3)</t>
    </r>
  </si>
  <si>
    <t>DRAFT !</t>
  </si>
  <si>
    <t xml:space="preserve"> </t>
  </si>
  <si>
    <r>
      <t xml:space="preserve">     </t>
    </r>
    <r>
      <rPr>
        <i/>
        <u/>
        <sz val="11"/>
        <color theme="1"/>
        <rFont val="Arial"/>
        <family val="2"/>
      </rPr>
      <t>program</t>
    </r>
    <r>
      <rPr>
        <i/>
        <sz val="11"/>
        <color theme="1"/>
        <rFont val="Arial"/>
        <family val="2"/>
      </rPr>
      <t xml:space="preserve"> colored curves for different iF results</t>
    </r>
  </si>
  <si>
    <t>This chart is not</t>
  </si>
  <si>
    <t>programmed yet</t>
  </si>
  <si>
    <t xml:space="preserve">&lt;-- enter here </t>
  </si>
  <si>
    <r>
      <rPr>
        <sz val="11"/>
        <color rgb="FF0070C0"/>
        <rFont val="Arial"/>
        <family val="2"/>
      </rPr>
      <t>avg05 =</t>
    </r>
    <r>
      <rPr>
        <sz val="11"/>
        <color theme="1"/>
        <rFont val="Arial"/>
        <family val="2"/>
      </rPr>
      <t xml:space="preserve"> (target_bg*iF/(dura05/60))+bg_target</t>
    </r>
  </si>
  <si>
    <r>
      <rPr>
        <b/>
        <sz val="11"/>
        <color rgb="FFFF0000"/>
        <rFont val="Arial"/>
        <family val="2"/>
      </rPr>
      <t>iF</t>
    </r>
    <r>
      <rPr>
        <sz val="11"/>
        <color rgb="FF7030A0"/>
        <rFont val="Arial"/>
        <family val="2"/>
      </rPr>
      <t xml:space="preserve"> ; dura</t>
    </r>
  </si>
  <si>
    <t>avg05 @</t>
  </si>
  <si>
    <t xml:space="preserve"> line in graph:        1</t>
  </si>
  <si>
    <r>
      <t xml:space="preserve"> *)  input your target_bg in B92 and use diagram at observed </t>
    </r>
    <r>
      <rPr>
        <sz val="9"/>
        <color theme="4" tint="-0.249977111117893"/>
        <rFont val="Arial"/>
        <family val="2"/>
      </rPr>
      <t xml:space="preserve">plateau bg level </t>
    </r>
    <r>
      <rPr>
        <sz val="9"/>
        <color rgb="FFE40EB6"/>
        <rFont val="Arial"/>
        <family val="2"/>
      </rPr>
      <t>and</t>
    </r>
    <r>
      <rPr>
        <sz val="9"/>
        <color rgb="FF7030A0"/>
        <rFont val="Arial"/>
        <family val="2"/>
      </rPr>
      <t xml:space="preserve"> duration</t>
    </r>
    <r>
      <rPr>
        <sz val="9"/>
        <color rgb="FFE40EB6"/>
        <rFont val="Arial"/>
        <family val="2"/>
      </rPr>
      <t xml:space="preserve">, </t>
    </r>
  </si>
  <si>
    <t xml:space="preserve"> line in graph:     </t>
  </si>
  <si>
    <t>line</t>
  </si>
  <si>
    <t>Make and save your personal copy, and work in that (so you always retain the original for a fresh start.)</t>
  </si>
  <si>
    <t>2) Input your profile_ISF in B1</t>
  </si>
  <si>
    <t xml:space="preserve">    (if not cut by safety limits, or superceded, see QuickGuide flowcharts how autoISF components interact) </t>
  </si>
  <si>
    <t>4) In B3 enter the dura weight you had used, and in E3 the one you want to investigate</t>
  </si>
  <si>
    <t>7) Column H shows the % difference in insulinReq and SMB size that can result</t>
  </si>
  <si>
    <t>8) Optional, if you made use of box B2, you can see insReq in column G (and compare to column D)</t>
  </si>
  <si>
    <t>3) In the respective column, go down to the observed duration of that plateau (look up in I 23 - 51)</t>
  </si>
  <si>
    <r>
      <t>1) Describe the plateau you would like to fight, as in</t>
    </r>
    <r>
      <rPr>
        <b/>
        <sz val="11"/>
        <color theme="1"/>
        <rFont val="Arial"/>
        <family val="2"/>
      </rPr>
      <t xml:space="preserve"> B)</t>
    </r>
    <r>
      <rPr>
        <sz val="11"/>
        <color theme="1"/>
        <rFont val="Arial"/>
        <family val="2"/>
      </rPr>
      <t>, and determine the</t>
    </r>
    <r>
      <rPr>
        <b/>
        <sz val="11"/>
        <color theme="1"/>
        <rFont val="Arial"/>
        <family val="2"/>
      </rPr>
      <t xml:space="preserve"> </t>
    </r>
    <r>
      <rPr>
        <b/>
        <sz val="11"/>
        <color rgb="FFFF0000"/>
        <rFont val="Arial"/>
        <family val="2"/>
      </rPr>
      <t>iF</t>
    </r>
  </si>
  <si>
    <r>
      <t xml:space="preserve">4) Try different weight inputs in E3 and look up the result in column H for the line of your </t>
    </r>
    <r>
      <rPr>
        <b/>
        <sz val="11"/>
        <color rgb="FFFF0000"/>
        <rFont val="Arial"/>
        <family val="2"/>
      </rPr>
      <t>iF</t>
    </r>
  </si>
  <si>
    <t>3) Make sure B1 contains your profile_ISF</t>
  </si>
  <si>
    <r>
      <t xml:space="preserve">10) Optional plausibility check of your </t>
    </r>
    <r>
      <rPr>
        <sz val="11"/>
        <color rgb="FFFF0000"/>
        <rFont val="Arial"/>
        <family val="2"/>
      </rPr>
      <t>iF:</t>
    </r>
    <r>
      <rPr>
        <sz val="11"/>
        <rFont val="Arial"/>
        <family val="2"/>
      </rPr>
      <t>see</t>
    </r>
    <r>
      <rPr>
        <b/>
        <sz val="11"/>
        <rFont val="Arial"/>
        <family val="2"/>
      </rPr>
      <t xml:space="preserve"> B)</t>
    </r>
    <r>
      <rPr>
        <sz val="11"/>
        <rFont val="Arial"/>
        <family val="2"/>
      </rPr>
      <t xml:space="preserve">   </t>
    </r>
  </si>
  <si>
    <t>Safety limits and "competing" other autoISF can lead to different actual outcome</t>
  </si>
  <si>
    <r>
      <t xml:space="preserve">Read autoISF </t>
    </r>
    <r>
      <rPr>
        <b/>
        <sz val="11"/>
        <color theme="1"/>
        <rFont val="Arial"/>
        <family val="2"/>
      </rPr>
      <t>Quick Guide</t>
    </r>
    <r>
      <rPr>
        <sz val="11"/>
        <color theme="1"/>
        <rFont val="Arial"/>
        <family val="2"/>
      </rPr>
      <t xml:space="preserve"> (Github/ga-zelle) and</t>
    </r>
    <r>
      <rPr>
        <b/>
        <sz val="11"/>
        <color theme="1"/>
        <rFont val="Arial"/>
        <family val="2"/>
      </rPr>
      <t xml:space="preserve"> FCL e-book</t>
    </r>
    <r>
      <rPr>
        <sz val="11"/>
        <color theme="1"/>
        <rFont val="Arial"/>
        <family val="2"/>
      </rPr>
      <t xml:space="preserve"> section 4.5.5 (Github/Bernie4375)</t>
    </r>
  </si>
  <si>
    <t>Caution re. decimal settings on your Excel  ( comma or period )</t>
  </si>
  <si>
    <r>
      <t xml:space="preserve">4) The red figures in the table J23 x S51 give the </t>
    </r>
    <r>
      <rPr>
        <sz val="11"/>
        <color rgb="FFFF0000"/>
        <rFont val="Arial"/>
        <family val="2"/>
      </rPr>
      <t>iF</t>
    </r>
    <r>
      <rPr>
        <sz val="11"/>
        <color theme="1"/>
        <rFont val="Arial"/>
        <family val="2"/>
      </rPr>
      <t xml:space="preserve"> factors for any plateau situation you may see.</t>
    </r>
  </si>
  <si>
    <t>1) In J21, enter the bg target you are operating with at the investigated loop decision</t>
  </si>
  <si>
    <t>1) Enter your target_bg in B92</t>
  </si>
  <si>
    <t>for target_bg =</t>
  </si>
  <si>
    <t>3) Option: You can look it up also in table B93 x N150</t>
  </si>
  <si>
    <t>Uses of this sheet:</t>
  </si>
  <si>
    <t>4) In B3 enter the pp_weight you had used, and in E3 the one you want to investigate</t>
  </si>
  <si>
    <t>8) Column H shows the % difference in insulinReq and SMB size that can result</t>
  </si>
  <si>
    <t>2) Retrieve your current bg delta on the x-axis (~ JH25... N25)</t>
  </si>
  <si>
    <t>2) Retrieve your current bg delta on the x-axis (~ JH25 …. N25)</t>
  </si>
  <si>
    <t xml:space="preserve">1) Enter zero in B3, and the contemplated pp_weight in E3  </t>
  </si>
  <si>
    <r>
      <t xml:space="preserve">4) Option: see alternative </t>
    </r>
    <r>
      <rPr>
        <b/>
        <sz val="11"/>
        <color theme="1"/>
        <rFont val="Arial"/>
        <family val="2"/>
      </rPr>
      <t>B)</t>
    </r>
  </si>
  <si>
    <r>
      <t xml:space="preserve">Read autoISF </t>
    </r>
    <r>
      <rPr>
        <b/>
        <sz val="11"/>
        <color theme="1"/>
        <rFont val="Arial"/>
        <family val="2"/>
      </rPr>
      <t>Quick Guide</t>
    </r>
    <r>
      <rPr>
        <sz val="11"/>
        <color theme="1"/>
        <rFont val="Arial"/>
        <family val="2"/>
      </rPr>
      <t xml:space="preserve"> (Github/ga-zelle) and</t>
    </r>
    <r>
      <rPr>
        <b/>
        <sz val="11"/>
        <color theme="1"/>
        <rFont val="Arial"/>
        <family val="2"/>
      </rPr>
      <t xml:space="preserve"> FCL e-book</t>
    </r>
    <r>
      <rPr>
        <sz val="11"/>
        <color theme="1"/>
        <rFont val="Arial"/>
        <family val="2"/>
      </rPr>
      <t xml:space="preserve"> section 4.3.2 (Github/Bernie4375)</t>
    </r>
  </si>
  <si>
    <t xml:space="preserve">1) Use  table (A1 x H20)  </t>
  </si>
  <si>
    <t>3) Optional: you can enter in B2  the SMB size you had, or just leave the calculations normalized to fictive default 1.0</t>
  </si>
  <si>
    <r>
      <t>9) Alternative: You can look the result up in graphical form also, see</t>
    </r>
    <r>
      <rPr>
        <b/>
        <sz val="11"/>
        <rFont val="Arial"/>
        <family val="2"/>
      </rPr>
      <t xml:space="preserve"> D)</t>
    </r>
    <r>
      <rPr>
        <sz val="11"/>
        <rFont val="Arial"/>
        <family val="2"/>
      </rPr>
      <t xml:space="preserve">   </t>
    </r>
  </si>
  <si>
    <r>
      <t>9) Alternative: You can look the result up in graphical form also, see</t>
    </r>
    <r>
      <rPr>
        <b/>
        <sz val="11"/>
        <color theme="1"/>
        <rFont val="Arial"/>
        <family val="2"/>
      </rPr>
      <t xml:space="preserve"> C)</t>
    </r>
    <r>
      <rPr>
        <sz val="11"/>
        <color theme="1"/>
        <rFont val="Arial"/>
        <family val="2"/>
      </rPr>
      <t xml:space="preserve">   </t>
    </r>
  </si>
  <si>
    <r>
      <t xml:space="preserve">4) In B3 enter </t>
    </r>
    <r>
      <rPr>
        <b/>
        <sz val="11"/>
        <color theme="1"/>
        <rFont val="Arial"/>
        <family val="2"/>
      </rPr>
      <t>zero</t>
    </r>
    <r>
      <rPr>
        <sz val="11"/>
        <color theme="1"/>
        <rFont val="Arial"/>
        <family val="2"/>
      </rPr>
      <t>, and in E3 the pp_weight you want to investigate</t>
    </r>
  </si>
  <si>
    <t>7) Column H shows the % difference in insulinReq and SMB size that can result when using pp_ISF</t>
  </si>
  <si>
    <r>
      <t xml:space="preserve">C) </t>
    </r>
    <r>
      <rPr>
        <sz val="11"/>
        <color theme="1"/>
        <rFont val="Arial"/>
        <family val="2"/>
      </rPr>
      <t>Alternative:</t>
    </r>
    <r>
      <rPr>
        <b/>
        <sz val="11"/>
        <color theme="1"/>
        <rFont val="Arial"/>
        <family val="2"/>
      </rPr>
      <t xml:space="preserve"> </t>
    </r>
    <r>
      <rPr>
        <sz val="11"/>
        <color theme="1"/>
        <rFont val="Arial"/>
        <family val="2"/>
      </rPr>
      <t>Look up effects from</t>
    </r>
    <r>
      <rPr>
        <b/>
        <sz val="11"/>
        <color theme="1"/>
        <rFont val="Arial"/>
        <family val="2"/>
      </rPr>
      <t xml:space="preserve"> pp_weight changes</t>
    </r>
    <r>
      <rPr>
        <sz val="11"/>
        <color theme="1"/>
        <rFont val="Arial"/>
        <family val="2"/>
      </rPr>
      <t xml:space="preserve"> in the</t>
    </r>
    <r>
      <rPr>
        <b/>
        <sz val="11"/>
        <color theme="1"/>
        <rFont val="Arial"/>
        <family val="2"/>
      </rPr>
      <t xml:space="preserve"> chart</t>
    </r>
    <r>
      <rPr>
        <sz val="11"/>
        <color theme="1"/>
        <rFont val="Arial"/>
        <family val="2"/>
      </rPr>
      <t xml:space="preserve"> (~ J1 x N25)</t>
    </r>
  </si>
  <si>
    <r>
      <t xml:space="preserve">D) </t>
    </r>
    <r>
      <rPr>
        <sz val="11"/>
        <color theme="1"/>
        <rFont val="Arial"/>
        <family val="2"/>
      </rPr>
      <t>Use the</t>
    </r>
    <r>
      <rPr>
        <b/>
        <sz val="11"/>
        <color theme="1"/>
        <rFont val="Arial"/>
        <family val="2"/>
      </rPr>
      <t xml:space="preserve"> chart</t>
    </r>
    <r>
      <rPr>
        <sz val="11"/>
        <color theme="1"/>
        <rFont val="Arial"/>
        <family val="2"/>
      </rPr>
      <t xml:space="preserve"> to determine the</t>
    </r>
    <r>
      <rPr>
        <b/>
        <sz val="11"/>
        <color theme="1"/>
        <rFont val="Arial"/>
        <family val="2"/>
      </rPr>
      <t xml:space="preserve"> effect of </t>
    </r>
    <r>
      <rPr>
        <sz val="11"/>
        <color theme="1"/>
        <rFont val="Arial"/>
        <family val="2"/>
      </rPr>
      <t>employing</t>
    </r>
    <r>
      <rPr>
        <b/>
        <sz val="11"/>
        <color theme="1"/>
        <rFont val="Arial"/>
        <family val="2"/>
      </rPr>
      <t xml:space="preserve"> pp_ISF</t>
    </r>
    <r>
      <rPr>
        <sz val="11"/>
        <color theme="1"/>
        <rFont val="Arial"/>
        <family val="2"/>
      </rPr>
      <t xml:space="preserve"> (vs. not using it)</t>
    </r>
  </si>
  <si>
    <t xml:space="preserve">3) The chart at O92 gives you the ISF (blue: old; orange:new)  and using the right side y axis,  </t>
  </si>
  <si>
    <t xml:space="preserve">     the extra insulinReq coming from employing the new pp_ISF with the weight you contemplate</t>
  </si>
  <si>
    <t>2) The chart at O92 gives you the ISFs (blue: old; orange:new) and insulinRequired (blue: old; yellow: new).</t>
  </si>
  <si>
    <t xml:space="preserve">    New minus old insReq is the extra insulinReq triggered by the investigated weight change.</t>
  </si>
  <si>
    <r>
      <t>1) Use  table (A1 x H20) and consult</t>
    </r>
    <r>
      <rPr>
        <u/>
        <sz val="11"/>
        <color theme="1"/>
        <rFont val="Arial"/>
        <family val="2"/>
      </rPr>
      <t xml:space="preserve"> e-book section 4.3.2</t>
    </r>
  </si>
  <si>
    <r>
      <rPr>
        <sz val="11"/>
        <color theme="1"/>
        <rFont val="Arial"/>
        <family val="2"/>
      </rPr>
      <t>A) Select</t>
    </r>
    <r>
      <rPr>
        <b/>
        <sz val="11"/>
        <color theme="1"/>
        <rFont val="Arial"/>
        <family val="2"/>
      </rPr>
      <t xml:space="preserve"> another pp_ISF_weight </t>
    </r>
    <r>
      <rPr>
        <sz val="11"/>
        <color theme="1"/>
        <rFont val="Arial"/>
        <family val="2"/>
      </rPr>
      <t>during your</t>
    </r>
    <r>
      <rPr>
        <b/>
        <sz val="11"/>
        <color theme="1"/>
        <rFont val="Arial"/>
        <family val="2"/>
      </rPr>
      <t xml:space="preserve"> tuning:</t>
    </r>
  </si>
  <si>
    <r>
      <rPr>
        <sz val="11"/>
        <color theme="1"/>
        <rFont val="Arial"/>
        <family val="2"/>
      </rPr>
      <t>B) Determine the</t>
    </r>
    <r>
      <rPr>
        <b/>
        <sz val="11"/>
        <color theme="1"/>
        <rFont val="Arial"/>
        <family val="2"/>
      </rPr>
      <t xml:space="preserve"> effect of employing pp_ISF</t>
    </r>
    <r>
      <rPr>
        <sz val="11"/>
        <color theme="1"/>
        <rFont val="Arial"/>
        <family val="2"/>
      </rPr>
      <t xml:space="preserve"> (vs. not using it)</t>
    </r>
  </si>
  <si>
    <r>
      <t xml:space="preserve">1) Use 1st table (A1 x H61) and consult </t>
    </r>
    <r>
      <rPr>
        <u/>
        <sz val="11"/>
        <color theme="1"/>
        <rFont val="Arial"/>
        <family val="2"/>
      </rPr>
      <t>e-book section 4.5.5</t>
    </r>
  </si>
  <si>
    <r>
      <t xml:space="preserve">1) Use 1st table (A1 x H61) and consult </t>
    </r>
    <r>
      <rPr>
        <u/>
        <sz val="11"/>
        <color theme="1"/>
        <rFont val="Arial"/>
        <family val="2"/>
      </rPr>
      <t>e-book section 4.2.4</t>
    </r>
  </si>
  <si>
    <r>
      <rPr>
        <sz val="11"/>
        <color theme="1"/>
        <rFont val="Arial"/>
        <family val="2"/>
      </rPr>
      <t xml:space="preserve">see </t>
    </r>
    <r>
      <rPr>
        <b/>
        <sz val="11"/>
        <color theme="1"/>
        <rFont val="Arial"/>
        <family val="2"/>
      </rPr>
      <t>column Q</t>
    </r>
    <r>
      <rPr>
        <sz val="11"/>
        <color theme="1"/>
        <rFont val="Arial"/>
        <family val="2"/>
      </rPr>
      <t xml:space="preserve">, and </t>
    </r>
    <r>
      <rPr>
        <b/>
        <sz val="11"/>
        <color theme="1"/>
        <rFont val="Arial"/>
        <family val="2"/>
      </rPr>
      <t xml:space="preserve">FCL e-Book </t>
    </r>
    <r>
      <rPr>
        <sz val="11"/>
        <color theme="1"/>
        <rFont val="Arial"/>
        <family val="2"/>
      </rPr>
      <t>section</t>
    </r>
    <r>
      <rPr>
        <b/>
        <sz val="11"/>
        <color theme="1"/>
        <rFont val="Arial"/>
        <family val="2"/>
      </rPr>
      <t xml:space="preserve"> 4.2.4 </t>
    </r>
    <r>
      <rPr>
        <sz val="11"/>
        <color theme="1"/>
        <rFont val="Arial"/>
        <family val="2"/>
      </rPr>
      <t xml:space="preserve"> (eq.1)</t>
    </r>
  </si>
  <si>
    <r>
      <rPr>
        <sz val="11"/>
        <color theme="1"/>
        <rFont val="Arial"/>
        <family val="2"/>
      </rPr>
      <t>see column Q, and</t>
    </r>
    <r>
      <rPr>
        <b/>
        <sz val="11"/>
        <color theme="1"/>
        <rFont val="Arial"/>
        <family val="2"/>
      </rPr>
      <t xml:space="preserve"> FCL e-Book </t>
    </r>
    <r>
      <rPr>
        <sz val="11"/>
        <color theme="1"/>
        <rFont val="Arial"/>
        <family val="2"/>
      </rPr>
      <t>section</t>
    </r>
    <r>
      <rPr>
        <b/>
        <sz val="11"/>
        <color theme="1"/>
        <rFont val="Arial"/>
        <family val="2"/>
      </rPr>
      <t xml:space="preserve"> 4.3.2 </t>
    </r>
    <r>
      <rPr>
        <sz val="11"/>
        <color theme="1"/>
        <rFont val="Arial"/>
        <family val="2"/>
      </rPr>
      <t xml:space="preserve"> (eq.2)</t>
    </r>
  </si>
  <si>
    <r>
      <rPr>
        <sz val="11"/>
        <color theme="1"/>
        <rFont val="Arial"/>
        <family val="2"/>
      </rPr>
      <t>see</t>
    </r>
    <r>
      <rPr>
        <b/>
        <sz val="11"/>
        <color theme="1"/>
        <rFont val="Arial"/>
        <family val="2"/>
      </rPr>
      <t xml:space="preserve"> column U</t>
    </r>
    <r>
      <rPr>
        <sz val="11"/>
        <color theme="1"/>
        <rFont val="Arial"/>
        <family val="2"/>
      </rPr>
      <t>, and</t>
    </r>
    <r>
      <rPr>
        <b/>
        <sz val="11"/>
        <color theme="1"/>
        <rFont val="Arial"/>
        <family val="2"/>
      </rPr>
      <t xml:space="preserve"> FCL e-Book </t>
    </r>
    <r>
      <rPr>
        <sz val="11"/>
        <color theme="1"/>
        <rFont val="Arial"/>
        <family val="2"/>
      </rPr>
      <t>section</t>
    </r>
    <r>
      <rPr>
        <b/>
        <sz val="11"/>
        <color theme="1"/>
        <rFont val="Arial"/>
        <family val="2"/>
      </rPr>
      <t xml:space="preserve"> 4.5.5</t>
    </r>
    <r>
      <rPr>
        <sz val="11"/>
        <color theme="1"/>
        <rFont val="Arial"/>
        <family val="2"/>
      </rPr>
      <t xml:space="preserve"> (eq.3)</t>
    </r>
  </si>
  <si>
    <r>
      <t xml:space="preserve">       modulates </t>
    </r>
    <r>
      <rPr>
        <sz val="11"/>
        <color rgb="FFFF0000"/>
        <rFont val="Arial"/>
        <family val="2"/>
      </rPr>
      <t>iF</t>
    </r>
    <r>
      <rPr>
        <sz val="11"/>
        <color theme="1"/>
        <rFont val="Arial"/>
        <family val="2"/>
      </rPr>
      <t xml:space="preserve">, and can sharply reduce or entirely shut off effects you are looking for  </t>
    </r>
  </si>
  <si>
    <r>
      <t xml:space="preserve">       For instance, profile_ISF/</t>
    </r>
    <r>
      <rPr>
        <b/>
        <sz val="11"/>
        <color theme="1"/>
        <rFont val="Arial"/>
        <family val="2"/>
      </rPr>
      <t>autoISFmax</t>
    </r>
    <r>
      <rPr>
        <sz val="11"/>
        <color theme="1"/>
        <rFont val="Arial"/>
        <family val="2"/>
      </rPr>
      <t xml:space="preserve"> is the lowest possible  ISF_new</t>
    </r>
  </si>
  <si>
    <t xml:space="preserve">Note that in case of bgAccel_ISF, also parabola_fit (CGM quality!) enters the equation (eq.1, see e-book), </t>
  </si>
  <si>
    <t>3) Optional: you can enter the SMB size you had in B2, or leave 1.0 (=normalized, what would happen per 1.0 U).</t>
  </si>
  <si>
    <t>4) In B3 enter the bgAccel_ISF_weight (acce_weight) you had used, and in E3 the one you want to investigate</t>
  </si>
  <si>
    <r>
      <rPr>
        <sz val="11"/>
        <color theme="1"/>
        <rFont val="Arial"/>
        <family val="2"/>
      </rPr>
      <t>A) Select another</t>
    </r>
    <r>
      <rPr>
        <b/>
        <sz val="11"/>
        <color theme="1"/>
        <rFont val="Arial"/>
        <family val="2"/>
      </rPr>
      <t xml:space="preserve"> bgAccel_ISF_weight </t>
    </r>
    <r>
      <rPr>
        <sz val="11"/>
        <color theme="1"/>
        <rFont val="Arial"/>
        <family val="2"/>
      </rPr>
      <t>during your</t>
    </r>
    <r>
      <rPr>
        <b/>
        <sz val="11"/>
        <color theme="1"/>
        <rFont val="Arial"/>
        <family val="2"/>
      </rPr>
      <t xml:space="preserve"> tuning:</t>
    </r>
  </si>
  <si>
    <t xml:space="preserve">  </t>
  </si>
  <si>
    <t>Note that it is nearly impossible to have identical CGM quality and acceleration at meal starts on different days.</t>
  </si>
  <si>
    <r>
      <rPr>
        <sz val="11"/>
        <color theme="1"/>
        <rFont val="Arial"/>
        <family val="2"/>
      </rPr>
      <t xml:space="preserve">B) Alternative: Look up </t>
    </r>
    <r>
      <rPr>
        <b/>
        <sz val="11"/>
        <color theme="1"/>
        <rFont val="Arial"/>
        <family val="2"/>
      </rPr>
      <t>effects from acce_weight changes in the chart</t>
    </r>
    <r>
      <rPr>
        <sz val="11"/>
        <color theme="1"/>
        <rFont val="Arial"/>
        <family val="2"/>
      </rPr>
      <t xml:space="preserve"> (~ J1 x O30)</t>
    </r>
  </si>
  <si>
    <r>
      <t xml:space="preserve">6) In column A </t>
    </r>
    <r>
      <rPr>
        <u/>
        <sz val="11"/>
        <color theme="1"/>
        <rFont val="Arial"/>
        <family val="2"/>
      </rPr>
      <t>of that line</t>
    </r>
    <r>
      <rPr>
        <sz val="11"/>
        <color theme="1"/>
        <rFont val="Arial"/>
        <family val="2"/>
      </rPr>
      <t xml:space="preserve">, the factor </t>
    </r>
    <r>
      <rPr>
        <b/>
        <sz val="11"/>
        <color rgb="FFFF0000"/>
        <rFont val="Arial"/>
        <family val="2"/>
      </rPr>
      <t>iF</t>
    </r>
    <r>
      <rPr>
        <sz val="11"/>
        <color theme="1"/>
        <rFont val="Arial"/>
        <family val="2"/>
      </rPr>
      <t xml:space="preserve"> </t>
    </r>
    <r>
      <rPr>
        <sz val="11"/>
        <color theme="0" tint="-0.499984740745262"/>
        <rFont val="Arial"/>
        <family val="2"/>
      </rPr>
      <t>(1,6 in the ex.)</t>
    </r>
    <r>
      <rPr>
        <sz val="11"/>
        <color theme="1"/>
        <rFont val="Arial"/>
        <family val="2"/>
      </rPr>
      <t xml:space="preserve"> is given for that "situation" (acceleration, CGM quality…) at your loop decision</t>
    </r>
  </si>
  <si>
    <r>
      <t xml:space="preserve">5)  Look up (SMB tab or logfile) the ISF, that had resulted (at the decision point you are investigating) </t>
    </r>
    <r>
      <rPr>
        <sz val="11"/>
        <color theme="0" tint="-0.499984740745262"/>
        <rFont val="Arial"/>
        <family val="2"/>
      </rPr>
      <t>(ex.: 30,3 marked green in table )</t>
    </r>
  </si>
  <si>
    <r>
      <t xml:space="preserve">7) In the </t>
    </r>
    <r>
      <rPr>
        <u/>
        <sz val="11"/>
        <color theme="1"/>
        <rFont val="Arial"/>
        <family val="2"/>
      </rPr>
      <t>same  line</t>
    </r>
    <r>
      <rPr>
        <sz val="11"/>
        <color theme="1"/>
        <rFont val="Arial"/>
        <family val="2"/>
      </rPr>
      <t xml:space="preserve">, the new ISF </t>
    </r>
    <r>
      <rPr>
        <sz val="11"/>
        <color theme="0" tint="-0.499984740745262"/>
        <rFont val="Arial"/>
        <family val="2"/>
      </rPr>
      <t>(ex. 34,5)</t>
    </r>
    <r>
      <rPr>
        <sz val="11"/>
        <color theme="1"/>
        <rFont val="Arial"/>
        <family val="2"/>
      </rPr>
      <t xml:space="preserve"> is  given that results for the new weight (E3), at factor iF (column A)</t>
    </r>
  </si>
  <si>
    <t>9) Optional, if you made use of box B2, you can see insReq in column G (and compare to column D)</t>
  </si>
  <si>
    <t xml:space="preserve">    The example, with reduced weight  0.2 -&gt; 0.1, means softer loop response, with higher new ISF, hence negative % in column H.</t>
  </si>
  <si>
    <r>
      <t xml:space="preserve">8) The difference between green and yellow line (again, at applicable iF, and reading </t>
    </r>
    <r>
      <rPr>
        <u/>
        <sz val="11"/>
        <color theme="1"/>
        <rFont val="Arial"/>
        <family val="2"/>
      </rPr>
      <t>on right side y-axis</t>
    </r>
    <r>
      <rPr>
        <sz val="11"/>
        <color theme="1"/>
        <rFont val="Arial"/>
        <family val="2"/>
      </rPr>
      <t xml:space="preserve">) </t>
    </r>
  </si>
  <si>
    <t xml:space="preserve">    gives the incremental insulin required (here negative)</t>
  </si>
  <si>
    <r>
      <t xml:space="preserve">10) Alternative:  The chart on the left (at J2) also shows the result (see </t>
    </r>
    <r>
      <rPr>
        <b/>
        <sz val="11"/>
        <color theme="1"/>
        <rFont val="Arial"/>
        <family val="2"/>
      </rPr>
      <t xml:space="preserve">B) </t>
    </r>
  </si>
  <si>
    <r>
      <t>1) -5)  as above at</t>
    </r>
    <r>
      <rPr>
        <b/>
        <sz val="11"/>
        <color theme="1"/>
        <rFont val="Arial"/>
        <family val="2"/>
      </rPr>
      <t xml:space="preserve"> A)</t>
    </r>
    <r>
      <rPr>
        <sz val="11"/>
        <color theme="1"/>
        <rFont val="Arial"/>
        <family val="2"/>
      </rPr>
      <t xml:space="preserve"> to (create inputs also for the chart, and) get your ISF_old</t>
    </r>
    <r>
      <rPr>
        <sz val="11"/>
        <color theme="0" tint="-0.499984740745262"/>
        <rFont val="Arial"/>
        <family val="2"/>
      </rPr>
      <t xml:space="preserve"> (ex. 30.3) </t>
    </r>
  </si>
  <si>
    <r>
      <t xml:space="preserve">6)  Go, at that y-axis value (30.3), horizontal into the </t>
    </r>
    <r>
      <rPr>
        <sz val="11"/>
        <color theme="4" tint="-0.249977111117893"/>
        <rFont val="Arial"/>
        <family val="2"/>
      </rPr>
      <t>blue ISF_old</t>
    </r>
    <r>
      <rPr>
        <sz val="11"/>
        <color theme="1"/>
        <rFont val="Arial"/>
        <family val="2"/>
      </rPr>
      <t xml:space="preserve"> curve, then down to x-axis, to obtain current iF </t>
    </r>
    <r>
      <rPr>
        <sz val="11"/>
        <color rgb="FFFF0000"/>
        <rFont val="Arial"/>
        <family val="2"/>
      </rPr>
      <t xml:space="preserve">(1.6) </t>
    </r>
  </si>
  <si>
    <r>
      <t xml:space="preserve">7) ISF_new </t>
    </r>
    <r>
      <rPr>
        <sz val="11"/>
        <color theme="0" tint="-0.499984740745262"/>
        <rFont val="Arial"/>
        <family val="2"/>
      </rPr>
      <t>(ex. 34,4)</t>
    </r>
    <r>
      <rPr>
        <sz val="11"/>
        <color theme="1"/>
        <rFont val="Arial"/>
        <family val="2"/>
      </rPr>
      <t xml:space="preserve"> is on the </t>
    </r>
    <r>
      <rPr>
        <sz val="11"/>
        <color rgb="FFE3510F"/>
        <rFont val="Arial"/>
        <family val="2"/>
      </rPr>
      <t>orange curve</t>
    </r>
    <r>
      <rPr>
        <sz val="11"/>
        <color theme="1"/>
        <rFont val="Arial"/>
        <family val="2"/>
      </rPr>
      <t xml:space="preserve"> at the same iF </t>
    </r>
  </si>
  <si>
    <r>
      <t xml:space="preserve">C) </t>
    </r>
    <r>
      <rPr>
        <sz val="11"/>
        <color theme="1"/>
        <rFont val="Arial"/>
        <family val="2"/>
      </rPr>
      <t xml:space="preserve">Determine the </t>
    </r>
    <r>
      <rPr>
        <b/>
        <sz val="11"/>
        <color theme="1"/>
        <rFont val="Arial"/>
        <family val="2"/>
      </rPr>
      <t>effect of employing bgAccel_ISF</t>
    </r>
    <r>
      <rPr>
        <sz val="11"/>
        <color theme="1"/>
        <rFont val="Arial"/>
        <family val="2"/>
      </rPr>
      <t xml:space="preserve"> (vs. not using it)</t>
    </r>
  </si>
  <si>
    <t xml:space="preserve">1) Use 1st table (A1 x H61)  </t>
  </si>
  <si>
    <t>3) Optional: you can enter the SMB size you had without using bgAccel_ISF, or leave 1.0 (=normalized, what would happen per 1.0 U).</t>
  </si>
  <si>
    <r>
      <t>4) In B3 enter</t>
    </r>
    <r>
      <rPr>
        <b/>
        <sz val="11"/>
        <color theme="1"/>
        <rFont val="Arial"/>
        <family val="2"/>
      </rPr>
      <t xml:space="preserve"> zero</t>
    </r>
    <r>
      <rPr>
        <sz val="11"/>
        <color theme="1"/>
        <rFont val="Arial"/>
        <family val="2"/>
      </rPr>
      <t>, in E3 enter the bgAccel_ISF_weight (acce_weight) you want to investigate</t>
    </r>
  </si>
  <si>
    <r>
      <t xml:space="preserve">5)  Now the problem is that you do not have data using acce_ISF, and no clue about </t>
    </r>
    <r>
      <rPr>
        <b/>
        <sz val="11"/>
        <color rgb="FFFF0000"/>
        <rFont val="Arial"/>
        <family val="2"/>
      </rPr>
      <t>iF</t>
    </r>
    <r>
      <rPr>
        <sz val="11"/>
        <color theme="1"/>
        <rFont val="Arial"/>
        <family val="2"/>
      </rPr>
      <t>.</t>
    </r>
  </si>
  <si>
    <r>
      <t xml:space="preserve">     Capture, over time, in which magnitudes YOUR</t>
    </r>
    <r>
      <rPr>
        <b/>
        <sz val="11"/>
        <color rgb="FFFF0000"/>
        <rFont val="Arial"/>
        <family val="2"/>
      </rPr>
      <t xml:space="preserve"> iF</t>
    </r>
    <r>
      <rPr>
        <sz val="11"/>
        <color theme="1"/>
        <rFont val="Arial"/>
        <family val="2"/>
      </rPr>
      <t>s usually are. We use example A) (iF = 1.6) again =&gt;</t>
    </r>
  </si>
  <si>
    <t xml:space="preserve">     Even for starters, this is a powerful tool to see which magnitude of acce_weight will (try to) do how much.</t>
  </si>
  <si>
    <t xml:space="preserve">       As the "old" situation is without any acce_ISF, regardless of the acceleration (x-axis) </t>
  </si>
  <si>
    <t xml:space="preserve">      the blue curve just stays at profile_ISF as a straight horizontal line.  </t>
  </si>
  <si>
    <t xml:space="preserve">      The yellow line is now also horizontal, as insulin delivered will not vary with acceleration when acce_weight is set zero.</t>
  </si>
  <si>
    <r>
      <t>1)-4)  as in</t>
    </r>
    <r>
      <rPr>
        <b/>
        <sz val="11"/>
        <color theme="1"/>
        <rFont val="Arial"/>
        <family val="2"/>
      </rPr>
      <t xml:space="preserve"> C) </t>
    </r>
    <r>
      <rPr>
        <sz val="11"/>
        <color theme="1"/>
        <rFont val="Arial"/>
        <family val="2"/>
      </rPr>
      <t xml:space="preserve">     The graph at J2 will now look a bit strange:</t>
    </r>
  </si>
  <si>
    <t xml:space="preserve">6) The acce driven new, lower ISF can be read on the y-axis for theorange curve, at the selected iF (x-axis). </t>
  </si>
  <si>
    <t>3) Optional: you can enter in B2 the SMB size you had, or just leave the calculations normalized to fictive 1.0</t>
  </si>
  <si>
    <r>
      <t xml:space="preserve">6) Now you can for any weight you input in E3 (put for ex. in:  0,25) , see the resulting effect in column F </t>
    </r>
    <r>
      <rPr>
        <sz val="11"/>
        <color theme="0" tint="-0.34998626667073579"/>
        <rFont val="Arial"/>
        <family val="2"/>
      </rPr>
      <t>(28.6 new ISF)</t>
    </r>
    <r>
      <rPr>
        <sz val="11"/>
        <color theme="1"/>
        <rFont val="Arial"/>
        <family val="2"/>
      </rPr>
      <t xml:space="preserve"> </t>
    </r>
  </si>
  <si>
    <t xml:space="preserve">     and how much more insulin (+40%).</t>
  </si>
  <si>
    <r>
      <rPr>
        <sz val="11"/>
        <color theme="1"/>
        <rFont val="Arial"/>
        <family val="2"/>
      </rPr>
      <t>D) Alternative: Look up</t>
    </r>
    <r>
      <rPr>
        <b/>
        <sz val="11"/>
        <color theme="1"/>
        <rFont val="Arial"/>
        <family val="2"/>
      </rPr>
      <t xml:space="preserve"> effects from using acce_ISF in the chart</t>
    </r>
    <r>
      <rPr>
        <sz val="11"/>
        <color theme="1"/>
        <rFont val="Arial"/>
        <family val="2"/>
      </rPr>
      <t xml:space="preserve"> (~ J1 x O30)</t>
    </r>
  </si>
  <si>
    <r>
      <t xml:space="preserve">     Capture, over time, in which magnitudes YOUR</t>
    </r>
    <r>
      <rPr>
        <b/>
        <sz val="11"/>
        <color rgb="FFFF0000"/>
        <rFont val="Arial"/>
        <family val="2"/>
      </rPr>
      <t xml:space="preserve"> iF</t>
    </r>
    <r>
      <rPr>
        <sz val="11"/>
        <color theme="1"/>
        <rFont val="Arial"/>
        <family val="2"/>
      </rPr>
      <t xml:space="preserve">s usually are. We use example </t>
    </r>
    <r>
      <rPr>
        <sz val="11"/>
        <color theme="0" tint="-0.499984740745262"/>
        <rFont val="Arial"/>
        <family val="2"/>
      </rPr>
      <t xml:space="preserve">A) (iF = </t>
    </r>
    <r>
      <rPr>
        <sz val="11"/>
        <color rgb="FFFF0000"/>
        <rFont val="Arial"/>
        <family val="2"/>
      </rPr>
      <t>1.6</t>
    </r>
    <r>
      <rPr>
        <sz val="11"/>
        <color theme="0" tint="-0.499984740745262"/>
        <rFont val="Arial"/>
        <family val="2"/>
      </rPr>
      <t>)</t>
    </r>
    <r>
      <rPr>
        <sz val="11"/>
        <color theme="1"/>
        <rFont val="Arial"/>
        <family val="2"/>
      </rPr>
      <t xml:space="preserve"> again =&gt;</t>
    </r>
  </si>
  <si>
    <t xml:space="preserve">7)  Using the right side y-axis, the insulin additionally received from employing acce_ISF is represented </t>
  </si>
  <si>
    <t xml:space="preserve">     by the rise of the green curve over the yellow horizontal line.</t>
  </si>
  <si>
    <r>
      <t xml:space="preserve">5)  Look up (SMB tab or logfile) the ISF_old (30.3 in the "green" example) that had resulted </t>
    </r>
    <r>
      <rPr>
        <sz val="11"/>
        <color theme="0" tint="-0.34998626667073579"/>
        <rFont val="Arial"/>
        <family val="2"/>
      </rPr>
      <t xml:space="preserve"> </t>
    </r>
  </si>
  <si>
    <t xml:space="preserve">     when using your old pp_weight, at the decision point you are investigating </t>
  </si>
  <si>
    <r>
      <t xml:space="preserve">    </t>
    </r>
    <r>
      <rPr>
        <u/>
        <sz val="11"/>
        <color theme="1"/>
        <rFont val="Arial"/>
        <family val="2"/>
      </rPr>
      <t>or (easier):</t>
    </r>
    <r>
      <rPr>
        <sz val="11"/>
        <color theme="1"/>
        <rFont val="Arial"/>
        <family val="2"/>
      </rPr>
      <t xml:space="preserve">  Look up the bg delta applicable to the loop decision you are investigating</t>
    </r>
    <r>
      <rPr>
        <sz val="11"/>
        <color theme="0" tint="-0.34998626667073579"/>
        <rFont val="Arial"/>
        <family val="2"/>
      </rPr>
      <t xml:space="preserve"> (ex. </t>
    </r>
    <r>
      <rPr>
        <sz val="11"/>
        <color rgb="FFFF0000"/>
        <rFont val="Arial"/>
        <family val="2"/>
      </rPr>
      <t xml:space="preserve">16 </t>
    </r>
    <r>
      <rPr>
        <sz val="11"/>
        <color theme="0" tint="-0.34998626667073579"/>
        <rFont val="Arial"/>
        <family val="2"/>
      </rPr>
      <t>mg/dl)</t>
    </r>
  </si>
  <si>
    <r>
      <t>6) In column F of that line</t>
    </r>
    <r>
      <rPr>
        <sz val="11"/>
        <color theme="0" tint="-0.34998626667073579"/>
        <rFont val="Arial"/>
        <family val="2"/>
      </rPr>
      <t xml:space="preserve"> (with </t>
    </r>
    <r>
      <rPr>
        <sz val="11"/>
        <color rgb="FFFF0000"/>
        <rFont val="Arial"/>
        <family val="2"/>
      </rPr>
      <t xml:space="preserve">16 </t>
    </r>
    <r>
      <rPr>
        <sz val="11"/>
        <color theme="0" tint="-0.34998626667073579"/>
        <rFont val="Arial"/>
        <family val="2"/>
      </rPr>
      <t>and 30.3)</t>
    </r>
    <r>
      <rPr>
        <sz val="11"/>
        <color theme="1"/>
        <rFont val="Arial"/>
        <family val="2"/>
      </rPr>
      <t xml:space="preserve">, the new ISF </t>
    </r>
    <r>
      <rPr>
        <sz val="11"/>
        <color theme="0" tint="-0.34998626667073579"/>
        <rFont val="Arial"/>
        <family val="2"/>
      </rPr>
      <t>(ex. 27.0)</t>
    </r>
    <r>
      <rPr>
        <sz val="11"/>
        <color theme="1"/>
        <rFont val="Arial"/>
        <family val="2"/>
      </rPr>
      <t xml:space="preserve"> is  given, that would result with  the new weight (E3)  at same observed delta (column A)</t>
    </r>
  </si>
  <si>
    <r>
      <t>5) Look up the bg delta applicable to the loop decision you are investigating</t>
    </r>
    <r>
      <rPr>
        <sz val="11"/>
        <color theme="0" tint="-0.34998626667073579"/>
        <rFont val="Arial"/>
        <family val="2"/>
      </rPr>
      <t xml:space="preserve"> (ex. </t>
    </r>
    <r>
      <rPr>
        <sz val="11"/>
        <color rgb="FFFF0000"/>
        <rFont val="Arial"/>
        <family val="2"/>
      </rPr>
      <t>16</t>
    </r>
    <r>
      <rPr>
        <sz val="11"/>
        <color theme="0" tint="-0.34998626667073579"/>
        <rFont val="Arial"/>
        <family val="2"/>
      </rPr>
      <t xml:space="preserve"> mg/dl)</t>
    </r>
  </si>
  <si>
    <r>
      <t>6) In column F of that line, the new ISF</t>
    </r>
    <r>
      <rPr>
        <sz val="11"/>
        <color theme="0" tint="-0.499984740745262"/>
        <rFont val="Arial"/>
        <family val="2"/>
      </rPr>
      <t xml:space="preserve"> </t>
    </r>
    <r>
      <rPr>
        <sz val="11"/>
        <color theme="0" tint="-0.34998626667073579"/>
        <rFont val="Arial"/>
        <family val="2"/>
      </rPr>
      <t>(ex. 27.0)</t>
    </r>
    <r>
      <rPr>
        <sz val="11"/>
        <color theme="1"/>
        <rFont val="Arial"/>
        <family val="2"/>
      </rPr>
      <t xml:space="preserve"> is  given, that results if applying pp_ISF with weight (as in E3) (and at that observed delta, column A)</t>
    </r>
  </si>
  <si>
    <t xml:space="preserve">1) Enter your old pp_weight in B3, and the new pp_weight in E3  </t>
  </si>
  <si>
    <r>
      <rPr>
        <sz val="11"/>
        <color theme="1"/>
        <rFont val="Arial"/>
        <family val="2"/>
      </rPr>
      <t xml:space="preserve">A) Select another </t>
    </r>
    <r>
      <rPr>
        <b/>
        <sz val="11"/>
        <color theme="1"/>
        <rFont val="Arial"/>
        <family val="2"/>
      </rPr>
      <t xml:space="preserve">dura_ISF_weight </t>
    </r>
    <r>
      <rPr>
        <sz val="11"/>
        <color theme="1"/>
        <rFont val="Arial"/>
        <family val="2"/>
      </rPr>
      <t>during your</t>
    </r>
    <r>
      <rPr>
        <b/>
        <sz val="11"/>
        <color theme="1"/>
        <rFont val="Arial"/>
        <family val="2"/>
      </rPr>
      <t xml:space="preserve"> tuning:</t>
    </r>
  </si>
  <si>
    <r>
      <rPr>
        <sz val="11"/>
        <color theme="1"/>
        <rFont val="Arial"/>
        <family val="2"/>
      </rPr>
      <t>B)</t>
    </r>
    <r>
      <rPr>
        <b/>
        <sz val="11"/>
        <color theme="1"/>
        <rFont val="Arial"/>
        <family val="2"/>
      </rPr>
      <t xml:space="preserve"> Determine </t>
    </r>
    <r>
      <rPr>
        <sz val="11"/>
        <color theme="1"/>
        <rFont val="Arial"/>
        <family val="2"/>
      </rPr>
      <t>your</t>
    </r>
    <r>
      <rPr>
        <b/>
        <sz val="11"/>
        <color theme="1"/>
        <rFont val="Arial"/>
        <family val="2"/>
      </rPr>
      <t xml:space="preserve"> applicable </t>
    </r>
    <r>
      <rPr>
        <b/>
        <sz val="11"/>
        <color rgb="FFFF0000"/>
        <rFont val="Arial"/>
        <family val="2"/>
      </rPr>
      <t xml:space="preserve">iF </t>
    </r>
    <r>
      <rPr>
        <sz val="11"/>
        <color theme="1"/>
        <rFont val="Arial"/>
        <family val="2"/>
      </rPr>
      <t>factor</t>
    </r>
  </si>
  <si>
    <r>
      <rPr>
        <sz val="11"/>
        <color theme="1"/>
        <rFont val="Arial"/>
        <family val="2"/>
      </rPr>
      <t xml:space="preserve">C) Alternative: </t>
    </r>
    <r>
      <rPr>
        <b/>
        <sz val="11"/>
        <color theme="1"/>
        <rFont val="Arial"/>
        <family val="2"/>
      </rPr>
      <t xml:space="preserve">Quick estimate for </t>
    </r>
    <r>
      <rPr>
        <b/>
        <sz val="11"/>
        <color rgb="FFFF0000"/>
        <rFont val="Arial"/>
        <family val="2"/>
      </rPr>
      <t>iF</t>
    </r>
    <r>
      <rPr>
        <b/>
        <sz val="11"/>
        <color theme="1"/>
        <rFont val="Arial"/>
        <family val="2"/>
      </rPr>
      <t xml:space="preserve"> </t>
    </r>
    <r>
      <rPr>
        <sz val="11"/>
        <color theme="1"/>
        <rFont val="Arial"/>
        <family val="2"/>
      </rPr>
      <t>factor</t>
    </r>
  </si>
  <si>
    <r>
      <rPr>
        <sz val="11"/>
        <color theme="1"/>
        <rFont val="Arial"/>
        <family val="2"/>
      </rPr>
      <t xml:space="preserve">D) Determine the </t>
    </r>
    <r>
      <rPr>
        <b/>
        <sz val="11"/>
        <color theme="1"/>
        <rFont val="Arial"/>
        <family val="2"/>
      </rPr>
      <t xml:space="preserve">effect of </t>
    </r>
    <r>
      <rPr>
        <sz val="11"/>
        <color theme="1"/>
        <rFont val="Arial"/>
        <family val="2"/>
      </rPr>
      <t>employing</t>
    </r>
    <r>
      <rPr>
        <b/>
        <sz val="11"/>
        <color theme="1"/>
        <rFont val="Arial"/>
        <family val="2"/>
      </rPr>
      <t xml:space="preserve"> dura_ISF </t>
    </r>
    <r>
      <rPr>
        <sz val="11"/>
        <color theme="1"/>
        <rFont val="Arial"/>
        <family val="2"/>
      </rPr>
      <t>(vs. not using it)</t>
    </r>
  </si>
  <si>
    <r>
      <t xml:space="preserve">2) The chart at O92 gives you the </t>
    </r>
    <r>
      <rPr>
        <sz val="11"/>
        <color rgb="FFFF0000"/>
        <rFont val="Arial"/>
        <family val="2"/>
      </rPr>
      <t>iF</t>
    </r>
  </si>
  <si>
    <r>
      <t xml:space="preserve">5) Optional: The chart below at T 41 (and doing steps 2) and 4)) allows for any </t>
    </r>
    <r>
      <rPr>
        <sz val="11"/>
        <color rgb="FFFF0000"/>
        <rFont val="Arial"/>
        <family val="2"/>
      </rPr>
      <t>iF</t>
    </r>
    <r>
      <rPr>
        <sz val="11"/>
        <color theme="1"/>
        <rFont val="Arial"/>
        <family val="2"/>
      </rPr>
      <t xml:space="preserve"> (x-axis),  to obtain </t>
    </r>
  </si>
  <si>
    <r>
      <t>5) Look up (SMB tab or logfile) the ISF_old that had resulted (at the decision point you are investigating)</t>
    </r>
    <r>
      <rPr>
        <sz val="11"/>
        <color theme="0" tint="-0.499984740745262"/>
        <rFont val="Arial"/>
        <family val="2"/>
      </rPr>
      <t xml:space="preserve"> (30.3 in the "green" example)</t>
    </r>
  </si>
  <si>
    <r>
      <t xml:space="preserve">9) Optional:  The chart below at T41 (and doing steps 2) and 4)) allows for any </t>
    </r>
    <r>
      <rPr>
        <sz val="11"/>
        <color rgb="FFFF0000"/>
        <rFont val="Arial"/>
        <family val="2"/>
      </rPr>
      <t>iF</t>
    </r>
    <r>
      <rPr>
        <sz val="11"/>
        <color theme="1"/>
        <rFont val="Arial"/>
        <family val="2"/>
      </rPr>
      <t xml:space="preserve"> (x-axis),  to obtain </t>
    </r>
  </si>
  <si>
    <t xml:space="preserve">    the new_ISF , and the delta in insulin required (= difference right side y-axis betrween yellow and green line)</t>
  </si>
  <si>
    <t xml:space="preserve">         may be more reliable after user inputs!</t>
  </si>
  <si>
    <t xml:space="preserve">         automatic legend at bottom may be more reliable after user inputs!</t>
  </si>
  <si>
    <r>
      <t xml:space="preserve">6) In column A of that line, the Factor </t>
    </r>
    <r>
      <rPr>
        <sz val="11"/>
        <color rgb="FFFF0000"/>
        <rFont val="Arial"/>
        <family val="2"/>
      </rPr>
      <t xml:space="preserve">iF </t>
    </r>
    <r>
      <rPr>
        <sz val="11"/>
        <color theme="0" tint="-0.499984740745262"/>
        <rFont val="Arial"/>
        <family val="2"/>
      </rPr>
      <t>(0.533 in the ex.)</t>
    </r>
    <r>
      <rPr>
        <sz val="11"/>
        <color theme="1"/>
        <rFont val="Arial"/>
        <family val="2"/>
      </rPr>
      <t xml:space="preserve"> is given for the "situation" at your (old, but alternatively also new) loop decision  </t>
    </r>
  </si>
  <si>
    <r>
      <t xml:space="preserve">    Alternative </t>
    </r>
    <r>
      <rPr>
        <b/>
        <sz val="11"/>
        <color theme="1"/>
        <rFont val="Arial"/>
        <family val="2"/>
      </rPr>
      <t>C)</t>
    </r>
    <r>
      <rPr>
        <sz val="11"/>
        <color theme="1"/>
        <rFont val="Arial"/>
        <family val="2"/>
      </rPr>
      <t xml:space="preserve"> (or plaus.check) to 5),6): Use line 92 ff to determine your </t>
    </r>
    <r>
      <rPr>
        <sz val="11"/>
        <color rgb="FFFF0000"/>
        <rFont val="Arial"/>
        <family val="2"/>
      </rPr>
      <t>iF</t>
    </r>
    <r>
      <rPr>
        <sz val="11"/>
        <color theme="1"/>
        <rFont val="Arial"/>
        <family val="2"/>
      </rPr>
      <t xml:space="preserve"> using target_bg and observed plateau data (dura05 and avg05)</t>
    </r>
  </si>
  <si>
    <r>
      <t xml:space="preserve">    In column  F of the line with your</t>
    </r>
    <r>
      <rPr>
        <sz val="11"/>
        <color rgb="FFFF0000"/>
        <rFont val="Arial"/>
        <family val="2"/>
      </rPr>
      <t xml:space="preserve"> iF</t>
    </r>
    <r>
      <rPr>
        <sz val="11"/>
        <color theme="1"/>
        <rFont val="Arial"/>
        <family val="2"/>
      </rPr>
      <t>, the new ISF</t>
    </r>
    <r>
      <rPr>
        <sz val="11"/>
        <color theme="0" tint="-0.499984740745262"/>
        <rFont val="Arial"/>
        <family val="2"/>
      </rPr>
      <t xml:space="preserve"> (ex. 28.0)</t>
    </r>
    <r>
      <rPr>
        <sz val="11"/>
        <color theme="1"/>
        <rFont val="Arial"/>
        <family val="2"/>
      </rPr>
      <t xml:space="preserve"> is  given that results for the new weight (E3)</t>
    </r>
  </si>
  <si>
    <t>That makes "precision engineering" your bgAccel_ISF_weight an un-rewarding endavour. Stop when "good enough".</t>
  </si>
  <si>
    <t xml:space="preserve"> If at  early acceleration time your bg is below target, aggressiveness will be automatically reduced, too.</t>
  </si>
  <si>
    <t xml:space="preserve"> Implications are discussed in section 4.5.5 of FCL e-book  (Github/Bernie4375).  See also  Quick Guide (Github/ga-zelle).</t>
  </si>
  <si>
    <t xml:space="preserve">    the new_ISF , and the insulin required (= difference right side y-axis between yellow and green line)</t>
  </si>
  <si>
    <t>2) Look up the bg plateau "height"  in line 22 J - S</t>
  </si>
  <si>
    <r>
      <t>2) Go to table A1 x H 61, and insert</t>
    </r>
    <r>
      <rPr>
        <b/>
        <sz val="11"/>
        <color theme="1"/>
        <rFont val="Arial"/>
        <family val="2"/>
      </rPr>
      <t xml:space="preserve"> zero </t>
    </r>
    <r>
      <rPr>
        <sz val="11"/>
        <color theme="1"/>
        <rFont val="Arial"/>
        <family val="2"/>
      </rPr>
      <t>in box B3. (Don't worry about  horizontal blue and green lines in chart below, see 5).</t>
    </r>
  </si>
  <si>
    <t>ISF_dyn_new</t>
  </si>
  <si>
    <t>ISF_dyn_old</t>
  </si>
  <si>
    <t>bg_ISF_new</t>
  </si>
  <si>
    <t>bg_ISF_old</t>
  </si>
  <si>
    <t>bg</t>
  </si>
  <si>
    <t>Adjustment factor</t>
  </si>
  <si>
    <t>higher_ISFrange_weight</t>
  </si>
  <si>
    <t>Insulin peak time</t>
  </si>
  <si>
    <t>lower_ISFrange_weight</t>
  </si>
  <si>
    <t>Est. TDD today</t>
  </si>
  <si>
    <t>TDD yesterday</t>
  </si>
  <si>
    <t>TDD 7 day</t>
  </si>
  <si>
    <t>"Polygon"</t>
  </si>
  <si>
    <t>BG unit mult.</t>
  </si>
  <si>
    <t>bg_ISF tuning -</t>
  </si>
  <si>
    <t>autoISF:</t>
  </si>
  <si>
    <t>Uses of this sheet for autoISF:</t>
  </si>
  <si>
    <t>old</t>
  </si>
  <si>
    <t>new</t>
  </si>
  <si>
    <t>2) Input your profile_ISF in B2</t>
  </si>
  <si>
    <t>3) Optional: you can enter the SMB size you had in B3, or leave 1.0 (=normalized, what would happen per 1.0 U).</t>
  </si>
  <si>
    <r>
      <t xml:space="preserve">5)  The effect on ISF old vs new can be seen in the table in the respective line for your bg value. ISF, that had resulted (at the decision point you are investigating) </t>
    </r>
    <r>
      <rPr>
        <sz val="11"/>
        <color theme="0" tint="-0.499984740745262"/>
        <rFont val="Arial"/>
        <family val="2"/>
      </rPr>
      <t>(ex.: 30,3 marked green in table )</t>
    </r>
  </si>
  <si>
    <t xml:space="preserve">     Likewise, you can read from the graph at x-axis bg value (yellow vs grey curve): Read new and old ISF at y-axis.</t>
  </si>
  <si>
    <t>6) Column H of the table gives the resulting effect on insulinRequired.</t>
  </si>
  <si>
    <t xml:space="preserve">    Note: In autoISF, several ISFs wotk in concert, and only if bg_ISF doiminates you will see this result</t>
  </si>
  <si>
    <r>
      <rPr>
        <sz val="11"/>
        <color theme="1"/>
        <rFont val="Arial"/>
        <family val="2"/>
      </rPr>
      <t xml:space="preserve">A) </t>
    </r>
    <r>
      <rPr>
        <b/>
        <sz val="11"/>
        <color theme="1"/>
        <rFont val="Arial"/>
        <family val="2"/>
      </rPr>
      <t>Tuning bg_ISF</t>
    </r>
    <r>
      <rPr>
        <sz val="11"/>
        <color theme="1"/>
        <rFont val="Arial"/>
        <family val="2"/>
      </rPr>
      <t xml:space="preserve"> in autoISF: Select different lower and/or higher </t>
    </r>
    <r>
      <rPr>
        <b/>
        <sz val="11"/>
        <color theme="1"/>
        <rFont val="Arial"/>
        <family val="2"/>
      </rPr>
      <t>ISF_range_weight</t>
    </r>
  </si>
  <si>
    <t xml:space="preserve">1) Use  table (A7 x H77)  </t>
  </si>
  <si>
    <r>
      <rPr>
        <sz val="11"/>
        <color theme="1"/>
        <rFont val="Arial"/>
        <family val="2"/>
      </rPr>
      <t xml:space="preserve">B) Effects from </t>
    </r>
    <r>
      <rPr>
        <b/>
        <sz val="11"/>
        <color theme="1"/>
        <rFont val="Arial"/>
        <family val="2"/>
      </rPr>
      <t>bg_ISF</t>
    </r>
    <r>
      <rPr>
        <sz val="11"/>
        <color theme="1"/>
        <rFont val="Arial"/>
        <family val="2"/>
      </rPr>
      <t xml:space="preserve"> vs not making use of it</t>
    </r>
  </si>
  <si>
    <t>4) In B5 and B6  enter the  lower and  higher ISF_range_weight you had in use,, and in E5, E6 the new values you want to investigate</t>
  </si>
  <si>
    <t xml:space="preserve">1) -3)  as above  </t>
  </si>
  <si>
    <r>
      <t>4) In B5 and B6  enter</t>
    </r>
    <r>
      <rPr>
        <b/>
        <sz val="11"/>
        <color theme="1"/>
        <rFont val="Arial"/>
        <family val="2"/>
      </rPr>
      <t xml:space="preserve"> zero</t>
    </r>
    <r>
      <rPr>
        <sz val="11"/>
        <color theme="1"/>
        <rFont val="Arial"/>
        <family val="2"/>
      </rPr>
      <t>.  In E5, E6 enter the lower and  higher ISF_range_weight you  want to investigate</t>
    </r>
  </si>
  <si>
    <t>5)  The effect bg_ISF could*) have, can be seen in the table in the respective line for any bg value (col.A)</t>
  </si>
  <si>
    <t xml:space="preserve">   *)  Note: In autoISF, several ISFs wotk in concert, and only if bg_ISF doiminates you will see this result</t>
  </si>
  <si>
    <t xml:space="preserve">     Likewise, you can read from the graph at x-axis bg value (yellow curve vs grey horiz. line = your old, bg-independent ISF): Read new  ISF at y-axis.</t>
  </si>
  <si>
    <t>6) Column H of the table gives the resulting effect on insulinRequired *).</t>
  </si>
  <si>
    <t>&lt;-- Dividing line between lower and higher range modulation!</t>
  </si>
  <si>
    <r>
      <t xml:space="preserve">Profile ISF </t>
    </r>
    <r>
      <rPr>
        <sz val="9"/>
        <color theme="1"/>
        <rFont val="Arial"/>
        <family val="2"/>
      </rPr>
      <t>(mg/dl/U)</t>
    </r>
  </si>
  <si>
    <r>
      <t xml:space="preserve">InsReq </t>
    </r>
    <r>
      <rPr>
        <sz val="9"/>
        <color theme="1"/>
        <rFont val="Arial"/>
        <family val="2"/>
      </rPr>
      <t xml:space="preserve"> (U)</t>
    </r>
  </si>
  <si>
    <t xml:space="preserve">1) Use  table (I1 x K6)  </t>
  </si>
  <si>
    <t>2) Input your TDDs in J2 - J4, and (if you want to see effect in same scenario for other weigfhts), same in K2 - K4</t>
  </si>
  <si>
    <t>3) Enter insulin peak- time in J5 and K5</t>
  </si>
  <si>
    <t>4) In J6 enter your current (old)  adjustment factor, and in K6 the new one that you want to investigate</t>
  </si>
  <si>
    <t xml:space="preserve">5)  The blue curve in the graph shows the new resulting ISF at different bg values, </t>
  </si>
  <si>
    <t xml:space="preserve">     while the orange chart is your current (old) situation.</t>
  </si>
  <si>
    <t>6) Numerical data for the curves are in table I7 x J77, for glucose levels as in column A.</t>
  </si>
  <si>
    <t>Note: Lower ISF means more aggressive loop, more insulin</t>
  </si>
  <si>
    <r>
      <rPr>
        <b/>
        <sz val="11"/>
        <color theme="9" tint="-0.249977111117893"/>
        <rFont val="Arial"/>
        <family val="2"/>
      </rPr>
      <t>Profile Target</t>
    </r>
    <r>
      <rPr>
        <sz val="11"/>
        <color theme="9" tint="-0.249977111117893"/>
        <rFont val="Arial"/>
        <family val="2"/>
      </rPr>
      <t xml:space="preserve"> </t>
    </r>
    <r>
      <rPr>
        <sz val="9"/>
        <color theme="9" tint="-0.249977111117893"/>
        <rFont val="Arial"/>
        <family val="2"/>
      </rPr>
      <t>(mg/dl)</t>
    </r>
  </si>
  <si>
    <t xml:space="preserve">         The dotted green "dividing line" for bgISF must be manually adjusted according to profile target (input B3)</t>
  </si>
  <si>
    <t>autosens_min</t>
  </si>
  <si>
    <t>autosens_max</t>
  </si>
  <si>
    <t>sig_adj</t>
  </si>
  <si>
    <t>bg_off</t>
  </si>
  <si>
    <t>bg_isf_sig</t>
  </si>
  <si>
    <t>ISF_sig</t>
  </si>
  <si>
    <t xml:space="preserve"> Sigmoid dynamicISF (iAPS)</t>
  </si>
  <si>
    <t>Uses of this sheet for sigmoid dynISF:</t>
  </si>
  <si>
    <r>
      <t>Note that profileISF</t>
    </r>
    <r>
      <rPr>
        <b/>
        <u/>
        <sz val="11"/>
        <color theme="1"/>
        <rFont val="Arial"/>
        <family val="2"/>
      </rPr>
      <t xml:space="preserve"> </t>
    </r>
    <r>
      <rPr>
        <u/>
        <sz val="11"/>
        <color theme="1"/>
        <rFont val="Arial"/>
        <family val="2"/>
      </rPr>
      <t>does</t>
    </r>
    <r>
      <rPr>
        <sz val="11"/>
        <color theme="1"/>
        <rFont val="Arial"/>
        <family val="2"/>
      </rPr>
      <t xml:space="preserve"> influence </t>
    </r>
    <r>
      <rPr>
        <u/>
        <sz val="11"/>
        <color theme="1"/>
        <rFont val="Arial"/>
        <family val="2"/>
      </rPr>
      <t>sigmoid</t>
    </r>
    <r>
      <rPr>
        <sz val="11"/>
        <color theme="1"/>
        <rFont val="Arial"/>
        <family val="2"/>
      </rPr>
      <t xml:space="preserve"> dynamicISF!</t>
    </r>
  </si>
  <si>
    <r>
      <rPr>
        <sz val="11"/>
        <color theme="1"/>
        <rFont val="Arial"/>
        <family val="2"/>
      </rPr>
      <t>C)</t>
    </r>
    <r>
      <rPr>
        <b/>
        <sz val="11"/>
        <color theme="1"/>
        <rFont val="Arial"/>
        <family val="2"/>
      </rPr>
      <t xml:space="preserve"> Sigmoid settings: </t>
    </r>
    <r>
      <rPr>
        <sz val="11"/>
        <color theme="1"/>
        <rFont val="Arial"/>
        <family val="2"/>
      </rPr>
      <t>Checking effect of adjustment factor (M5) of of any other variable (B2, M4, M4, M6)</t>
    </r>
  </si>
  <si>
    <t>1) Use  table (L1 x M6) plus input your profile ISF in B2</t>
  </si>
  <si>
    <t>2) Input your sigmoid settings in M3 - M6</t>
  </si>
  <si>
    <t>5) Numerical data for the curve  are in table L7 x M77, for glucose levels as in column A.</t>
  </si>
  <si>
    <t xml:space="preserve">4) The red curve shows the resulting sigmoid dfynISF (ISF_sig) that results at different bg values </t>
  </si>
  <si>
    <t>Uses of this sheet for managing transitions between methods</t>
  </si>
  <si>
    <r>
      <rPr>
        <sz val="11"/>
        <color theme="1"/>
        <rFont val="Arial"/>
        <family val="2"/>
      </rPr>
      <t>D)</t>
    </r>
    <r>
      <rPr>
        <b/>
        <sz val="11"/>
        <color theme="1"/>
        <rFont val="Arial"/>
        <family val="2"/>
      </rPr>
      <t xml:space="preserve"> Tuning: Checking effect of a different </t>
    </r>
    <r>
      <rPr>
        <sz val="11"/>
        <color theme="1"/>
        <rFont val="Arial"/>
        <family val="2"/>
      </rPr>
      <t>adjustment factor</t>
    </r>
    <r>
      <rPr>
        <b/>
        <sz val="11"/>
        <color theme="1"/>
        <rFont val="Arial"/>
        <family val="2"/>
      </rPr>
      <t xml:space="preserve"> </t>
    </r>
  </si>
  <si>
    <t xml:space="preserve">    so you see the curve for your current method in the graph.</t>
  </si>
  <si>
    <t>2a) E5 and E6 for alternative bg_ISF performance; see also A)</t>
  </si>
  <si>
    <t xml:space="preserve">2) Then create a curve for the alternative method(s) by making inputs in boxes (pick one or more of the following): </t>
  </si>
  <si>
    <t>2b) K2 - K6 for exploring (log) dynamicISF as alternative</t>
  </si>
  <si>
    <t>2c) M3 - M6 for exploring sigmoid dynamicISF as alternative</t>
  </si>
  <si>
    <t>4) You can "play with" all the parameters to match your current method in bg ranges that work well,</t>
  </si>
  <si>
    <t xml:space="preserve">    for your analysis (or click on these curves on the graph, and delete in your local copy)</t>
  </si>
  <si>
    <t xml:space="preserve">    while seeking improvements where you wish higher or lower ISF than your current method gives you.</t>
  </si>
  <si>
    <r>
      <t xml:space="preserve">1) For your currently used method, make the inputs in boxes   B2-B6, </t>
    </r>
    <r>
      <rPr>
        <u/>
        <sz val="11"/>
        <color theme="1"/>
        <rFont val="Arial"/>
        <family val="2"/>
      </rPr>
      <t>or</t>
    </r>
    <r>
      <rPr>
        <sz val="11"/>
        <color theme="1"/>
        <rFont val="Arial"/>
        <family val="2"/>
      </rPr>
      <t xml:space="preserve"> J2-J6, </t>
    </r>
    <r>
      <rPr>
        <u/>
        <sz val="11"/>
        <color theme="1"/>
        <rFont val="Arial"/>
        <family val="2"/>
      </rPr>
      <t>or</t>
    </r>
    <r>
      <rPr>
        <sz val="11"/>
        <color theme="1"/>
        <rFont val="Arial"/>
        <family val="2"/>
      </rPr>
      <t xml:space="preserve"> B2 and M3-M6.</t>
    </r>
  </si>
  <si>
    <r>
      <t xml:space="preserve">E) </t>
    </r>
    <r>
      <rPr>
        <b/>
        <sz val="11"/>
        <color theme="1"/>
        <rFont val="Arial"/>
        <family val="2"/>
      </rPr>
      <t>Design</t>
    </r>
    <r>
      <rPr>
        <sz val="11"/>
        <color theme="1"/>
        <rFont val="Arial"/>
        <family val="2"/>
      </rPr>
      <t xml:space="preserve"> up to 3 different </t>
    </r>
    <r>
      <rPr>
        <b/>
        <sz val="11"/>
        <color theme="1"/>
        <rFont val="Arial"/>
        <family val="2"/>
      </rPr>
      <t>alternative solutions to your current method</t>
    </r>
  </si>
  <si>
    <t xml:space="preserve">3) Optional: input zero in input  fields (e.g. J2 - J6, or B5 - B6) for  old" curves that you do not need in the chart </t>
  </si>
  <si>
    <r>
      <t xml:space="preserve">Uses of this sheet for </t>
    </r>
    <r>
      <rPr>
        <sz val="11"/>
        <color theme="1"/>
        <rFont val="Arial"/>
        <family val="2"/>
      </rPr>
      <t xml:space="preserve">(log.) </t>
    </r>
    <r>
      <rPr>
        <b/>
        <sz val="11"/>
        <color theme="1"/>
        <rFont val="Arial"/>
        <family val="2"/>
      </rPr>
      <t>dynamicISF:</t>
    </r>
  </si>
  <si>
    <r>
      <t xml:space="preserve">Note that profileISF </t>
    </r>
    <r>
      <rPr>
        <u/>
        <sz val="11"/>
        <color theme="1"/>
        <rFont val="Arial"/>
        <family val="2"/>
      </rPr>
      <t>does not</t>
    </r>
    <r>
      <rPr>
        <sz val="11"/>
        <color theme="1"/>
        <rFont val="Arial"/>
        <family val="2"/>
      </rPr>
      <t xml:space="preserve"> influence (log.) dynamicISF!</t>
    </r>
  </si>
  <si>
    <r>
      <t>You may need to make trade-offs.  -</t>
    </r>
    <r>
      <rPr>
        <sz val="11"/>
        <color theme="1"/>
        <rFont val="Arial"/>
        <family val="2"/>
      </rPr>
      <t xml:space="preserve"> To make them smartly, you will need insights, from your loop data, about:</t>
    </r>
  </si>
  <si>
    <t xml:space="preserve">General remark for all: </t>
  </si>
  <si>
    <t>i) At which bg level(s)  is it important to do a more or a less aggressiveISF (SMB size) than currently?</t>
  </si>
  <si>
    <t xml:space="preserve">ii) Is the loop zero-temping anyways, and thus ISF is actually irrelevant </t>
  </si>
  <si>
    <t>iii) Does the loop run into safety limits, pre-empting any additional boost? Are you willing and able to change those?</t>
  </si>
  <si>
    <t>iv) How might the change you consider work in other situations. How can you mitigate new risks</t>
  </si>
  <si>
    <t xml:space="preserve">e.g. by adjusting safety parameters, or by adding an Automation  that modifies "aggressiveness" again </t>
  </si>
  <si>
    <t>at certain data constellations that you identify as critical with your new method.</t>
  </si>
  <si>
    <t>v) One striking difference of (log) dynISF is the amazing weakening at low bg…</t>
  </si>
  <si>
    <t xml:space="preserve">  * which is usually not needed when bg comes down from a meal peak, as the loop is mostly) zero-temping then, anyways</t>
  </si>
  <si>
    <t xml:space="preserve">  * which is not really desireable when bg is low but rising. (The user's given bolus covers this pahase in HCL. But in FCL, this is a problem)</t>
  </si>
  <si>
    <t xml:space="preserve">  * which is coiunter-productive after setting a EatingSoonTT</t>
  </si>
  <si>
    <t xml:space="preserve">Note: bg_ISF enables to tune the curves entirely independently for the legs below vs. above target_bg </t>
  </si>
  <si>
    <r>
      <rPr>
        <sz val="11"/>
        <color theme="1"/>
        <rFont val="Arial"/>
        <family val="2"/>
      </rPr>
      <t>see</t>
    </r>
    <r>
      <rPr>
        <b/>
        <sz val="11"/>
        <color theme="1"/>
        <rFont val="Arial"/>
        <family val="2"/>
      </rPr>
      <t xml:space="preserve"> column X</t>
    </r>
    <r>
      <rPr>
        <sz val="11"/>
        <color theme="1"/>
        <rFont val="Arial"/>
        <family val="2"/>
      </rPr>
      <t>, and</t>
    </r>
    <r>
      <rPr>
        <b/>
        <sz val="11"/>
        <color theme="1"/>
        <rFont val="Arial"/>
        <family val="2"/>
      </rPr>
      <t xml:space="preserve"> FCL e-Book </t>
    </r>
    <r>
      <rPr>
        <sz val="11"/>
        <color theme="1"/>
        <rFont val="Arial"/>
        <family val="2"/>
      </rPr>
      <t>section</t>
    </r>
    <r>
      <rPr>
        <b/>
        <sz val="11"/>
        <color theme="1"/>
        <rFont val="Arial"/>
        <family val="2"/>
      </rPr>
      <t xml:space="preserve"> 4.5.7</t>
    </r>
    <r>
      <rPr>
        <sz val="11"/>
        <color theme="1"/>
        <rFont val="Arial"/>
        <family val="2"/>
      </rPr>
      <t xml:space="preserve">  </t>
    </r>
  </si>
  <si>
    <r>
      <t xml:space="preserve">WITHOUT TDD adjustment, </t>
    </r>
    <r>
      <rPr>
        <b/>
        <sz val="12"/>
        <color theme="1"/>
        <rFont val="Calibri"/>
        <family val="2"/>
        <scheme val="minor"/>
      </rPr>
      <t>see X22</t>
    </r>
  </si>
  <si>
    <r>
      <t>Dynamic_ISF,</t>
    </r>
    <r>
      <rPr>
        <b/>
        <sz val="12"/>
        <rFont val="Calibri"/>
        <family val="2"/>
        <scheme val="minor"/>
      </rPr>
      <t xml:space="preserve"> see X32</t>
    </r>
  </si>
  <si>
    <t>Big thank you to  widmann  who contributed  this bg, dyn subsheet.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</si>
</sst>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00"/>
    <numFmt numFmtId="166" formatCode="0.0%"/>
  </numFmts>
  <fonts count="59" x14ac:knownFonts="1">
    <font>
      <sz val="11"/>
      <color theme="1"/>
      <name val="Arial"/>
      <family val="2"/>
    </font>
    <font>
      <b/>
      <i/>
      <sz val="16"/>
      <color theme="1"/>
      <name val="Arial"/>
      <family val="2"/>
    </font>
    <font>
      <b/>
      <i/>
      <u/>
      <sz val="11"/>
      <color theme="1"/>
      <name val="Arial"/>
      <family val="2"/>
    </font>
    <font>
      <sz val="11"/>
      <color rgb="FFFF0000"/>
      <name val="Arial"/>
      <family val="2"/>
    </font>
    <font>
      <b/>
      <sz val="11"/>
      <color theme="1"/>
      <name val="Arial"/>
      <family val="2"/>
    </font>
    <font>
      <sz val="11"/>
      <color rgb="FF7030A0"/>
      <name val="Arial"/>
      <family val="2"/>
    </font>
    <font>
      <sz val="11"/>
      <color theme="4" tint="-0.249977111117893"/>
      <name val="Arial"/>
      <family val="2"/>
    </font>
    <font>
      <sz val="11"/>
      <color rgb="FF0070C0"/>
      <name val="Arial"/>
      <family val="2"/>
    </font>
    <font>
      <b/>
      <sz val="11"/>
      <color rgb="FFFF0000"/>
      <name val="Arial"/>
      <family val="2"/>
    </font>
    <font>
      <sz val="11"/>
      <color theme="0" tint="-0.499984740745262"/>
      <name val="Arial"/>
      <family val="2"/>
    </font>
    <font>
      <sz val="9"/>
      <color theme="1"/>
      <name val="Arial"/>
      <family val="2"/>
    </font>
    <font>
      <sz val="8"/>
      <color theme="1"/>
      <name val="Arial"/>
      <family val="2"/>
    </font>
    <font>
      <sz val="8"/>
      <color rgb="FF0000FF"/>
      <name val="Arial"/>
      <family val="2"/>
    </font>
    <font>
      <sz val="8"/>
      <color rgb="FFFF0000"/>
      <name val="Arial"/>
      <family val="2"/>
    </font>
    <font>
      <sz val="8"/>
      <color rgb="FFFF00FF"/>
      <name val="Arial"/>
      <family val="2"/>
    </font>
    <font>
      <i/>
      <sz val="9"/>
      <color theme="0" tint="-0.249977111117893"/>
      <name val="Arial"/>
      <family val="2"/>
    </font>
    <font>
      <b/>
      <i/>
      <sz val="9"/>
      <color theme="0" tint="-0.249977111117893"/>
      <name val="Arial"/>
      <family val="2"/>
    </font>
    <font>
      <sz val="9"/>
      <color theme="0" tint="-0.249977111117893"/>
      <name val="Arial"/>
      <family val="2"/>
    </font>
    <font>
      <sz val="9"/>
      <color theme="0" tint="-0.499984740745262"/>
      <name val="Arial"/>
      <family val="2"/>
    </font>
    <font>
      <sz val="9"/>
      <color rgb="FF7030A0"/>
      <name val="Arial"/>
      <family val="2"/>
    </font>
    <font>
      <sz val="9"/>
      <color rgb="FFE40EB6"/>
      <name val="Arial"/>
      <family val="2"/>
    </font>
    <font>
      <sz val="11"/>
      <color rgb="FFE40EB6"/>
      <name val="Arial"/>
      <family val="2"/>
    </font>
    <font>
      <sz val="9"/>
      <color theme="4" tint="-0.249977111117893"/>
      <name val="Arial"/>
      <family val="2"/>
    </font>
    <font>
      <sz val="10"/>
      <color theme="1"/>
      <name val="Arial"/>
      <family val="2"/>
    </font>
    <font>
      <b/>
      <sz val="9"/>
      <color rgb="FFE40EB6"/>
      <name val="Arial"/>
      <family val="2"/>
    </font>
    <font>
      <sz val="10"/>
      <color rgb="FFE40EB6"/>
      <name val="Arial"/>
      <family val="2"/>
    </font>
    <font>
      <b/>
      <sz val="10"/>
      <color rgb="FFFF0000"/>
      <name val="Arial"/>
      <family val="2"/>
    </font>
    <font>
      <b/>
      <sz val="10"/>
      <color rgb="FFE40EB6"/>
      <name val="Arial"/>
      <family val="2"/>
    </font>
    <font>
      <sz val="10"/>
      <color rgb="FF7030A0"/>
      <name val="Arial"/>
      <family val="2"/>
    </font>
    <font>
      <sz val="10"/>
      <color rgb="FF0070C0"/>
      <name val="Arial"/>
      <family val="2"/>
    </font>
    <font>
      <b/>
      <sz val="11"/>
      <color theme="7" tint="-0.249977111117893"/>
      <name val="Arial"/>
      <family val="2"/>
    </font>
    <font>
      <b/>
      <sz val="11"/>
      <color rgb="FF00B0F0"/>
      <name val="Arial"/>
      <family val="2"/>
    </font>
    <font>
      <b/>
      <sz val="11"/>
      <color rgb="FF00B050"/>
      <name val="Arial"/>
      <family val="2"/>
    </font>
    <font>
      <b/>
      <sz val="11"/>
      <color rgb="FFE40EB6"/>
      <name val="Arial"/>
      <family val="2"/>
    </font>
    <font>
      <i/>
      <sz val="11"/>
      <color theme="1"/>
      <name val="Arial"/>
      <family val="2"/>
    </font>
    <font>
      <i/>
      <u/>
      <sz val="11"/>
      <color theme="1"/>
      <name val="Arial"/>
      <family val="2"/>
    </font>
    <font>
      <sz val="11"/>
      <name val="Arial"/>
      <family val="2"/>
    </font>
    <font>
      <b/>
      <sz val="11"/>
      <name val="Arial"/>
      <family val="2"/>
    </font>
    <font>
      <b/>
      <sz val="11"/>
      <color rgb="FF7030A0"/>
      <name val="Arial"/>
      <family val="2"/>
    </font>
    <font>
      <sz val="11"/>
      <color theme="0" tint="-0.34998626667073579"/>
      <name val="Arial"/>
      <family val="2"/>
    </font>
    <font>
      <u/>
      <sz val="11"/>
      <color theme="1"/>
      <name val="Arial"/>
      <family val="2"/>
    </font>
    <font>
      <sz val="11"/>
      <color rgb="FFE3510F"/>
      <name val="Arial"/>
      <family val="2"/>
    </font>
    <font>
      <sz val="11"/>
      <color theme="1"/>
      <name val="Arial"/>
      <family val="2"/>
    </font>
    <font>
      <b/>
      <sz val="12"/>
      <color rgb="FF7030A0"/>
      <name val="Calibri"/>
      <family val="2"/>
      <scheme val="minor"/>
    </font>
    <font>
      <b/>
      <sz val="11"/>
      <color theme="1" tint="4.9989318521683403E-2"/>
      <name val="Arial"/>
      <family val="2"/>
    </font>
    <font>
      <sz val="9"/>
      <name val="Arial"/>
      <family val="2"/>
    </font>
    <font>
      <sz val="11"/>
      <color theme="9" tint="-0.249977111117893"/>
      <name val="Arial"/>
      <family val="2"/>
    </font>
    <font>
      <sz val="9"/>
      <color theme="9" tint="-0.249977111117893"/>
      <name val="Arial"/>
      <family val="2"/>
    </font>
    <font>
      <b/>
      <sz val="11"/>
      <color theme="9" tint="-0.249977111117893"/>
      <name val="Arial"/>
      <family val="2"/>
    </font>
    <font>
      <b/>
      <sz val="10"/>
      <color theme="1" tint="4.9989318521683403E-2"/>
      <name val="Arial"/>
      <family val="2"/>
    </font>
    <font>
      <b/>
      <sz val="10"/>
      <color theme="1"/>
      <name val="Arial"/>
      <family val="2"/>
    </font>
    <font>
      <sz val="12"/>
      <color theme="1"/>
      <name val="Calibri"/>
      <family val="2"/>
      <scheme val="minor"/>
    </font>
    <font>
      <b/>
      <sz val="12"/>
      <color theme="1"/>
      <name val="Calibri"/>
      <family val="2"/>
      <scheme val="minor"/>
    </font>
    <font>
      <b/>
      <sz val="12"/>
      <color rgb="FFFF0000"/>
      <name val="Calibri"/>
      <family val="2"/>
      <scheme val="minor"/>
    </font>
    <font>
      <b/>
      <u/>
      <sz val="11"/>
      <color theme="1"/>
      <name val="Arial"/>
      <family val="2"/>
    </font>
    <font>
      <b/>
      <sz val="11"/>
      <color theme="0" tint="-0.499984740745262"/>
      <name val="Arial"/>
      <family val="2"/>
    </font>
    <font>
      <b/>
      <sz val="12"/>
      <name val="Calibri"/>
      <family val="2"/>
      <scheme val="minor"/>
    </font>
    <font>
      <b/>
      <sz val="12"/>
      <color theme="4" tint="-0.249977111117893"/>
      <name val="Calibri"/>
      <family val="2"/>
      <scheme val="minor"/>
    </font>
    <font>
      <b/>
      <sz val="11"/>
      <color rgb="FFF1800F"/>
      <name val="Arial"/>
      <family val="2"/>
    </font>
  </fonts>
  <fills count="28">
    <fill>
      <patternFill patternType="none"/>
    </fill>
    <fill>
      <patternFill patternType="gray125"/>
    </fill>
    <fill>
      <patternFill patternType="solid">
        <fgColor rgb="FFFFFF00"/>
        <bgColor rgb="FFFFFF00"/>
      </patternFill>
    </fill>
    <fill>
      <patternFill patternType="solid">
        <fgColor rgb="FFFFFFCC"/>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FFCC"/>
        <bgColor rgb="FFFFFF00"/>
      </patternFill>
    </fill>
    <fill>
      <patternFill patternType="solid">
        <fgColor theme="0" tint="-0.14999847407452621"/>
        <bgColor indexed="64"/>
      </patternFill>
    </fill>
    <fill>
      <patternFill patternType="solid">
        <fgColor rgb="FFFFFF99"/>
        <bgColor indexed="64"/>
      </patternFill>
    </fill>
    <fill>
      <patternFill patternType="solid">
        <fgColor theme="0" tint="-0.34998626667073579"/>
        <bgColor indexed="64"/>
      </patternFill>
    </fill>
    <fill>
      <patternFill patternType="solid">
        <fgColor theme="7" tint="-0.249977111117893"/>
        <bgColor indexed="64"/>
      </patternFill>
    </fill>
    <fill>
      <patternFill patternType="solid">
        <fgColor rgb="FFFFC000"/>
        <bgColor indexed="64"/>
      </patternFill>
    </fill>
    <fill>
      <patternFill patternType="solid">
        <fgColor rgb="FFFF6699"/>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00B0F0"/>
        <bgColor indexed="64"/>
      </patternFill>
    </fill>
    <fill>
      <patternFill patternType="solid">
        <fgColor theme="7" tint="0.39997558519241921"/>
        <bgColor indexed="64"/>
      </patternFill>
    </fill>
    <fill>
      <patternFill patternType="solid">
        <fgColor rgb="FFCCCC00"/>
        <bgColor indexed="64"/>
      </patternFill>
    </fill>
    <fill>
      <patternFill patternType="solid">
        <fgColor rgb="FF6699FF"/>
        <bgColor indexed="64"/>
      </patternFill>
    </fill>
    <fill>
      <patternFill patternType="solid">
        <fgColor theme="5" tint="0.39997558519241921"/>
        <bgColor indexed="64"/>
      </patternFill>
    </fill>
    <fill>
      <patternFill patternType="solid">
        <fgColor rgb="FF99FF33"/>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7" tint="0.79998168889431442"/>
        <bgColor indexed="64"/>
      </patternFill>
    </fill>
  </fills>
  <borders count="38">
    <border>
      <left/>
      <right/>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right/>
      <top/>
      <bottom style="medium">
        <color indexed="64"/>
      </bottom>
      <diagonal/>
    </border>
    <border>
      <left style="thick">
        <color auto="1"/>
      </left>
      <right/>
      <top/>
      <bottom style="medium">
        <color indexed="64"/>
      </bottom>
      <diagonal/>
    </border>
    <border>
      <left/>
      <right style="thick">
        <color auto="1"/>
      </right>
      <top/>
      <bottom style="medium">
        <color indexed="64"/>
      </bottom>
      <diagonal/>
    </border>
    <border>
      <left style="thick">
        <color auto="1"/>
      </left>
      <right style="thick">
        <color auto="1"/>
      </right>
      <top/>
      <bottom style="medium">
        <color indexed="64"/>
      </bottom>
      <diagonal/>
    </border>
    <border>
      <left/>
      <right/>
      <top style="dotted">
        <color auto="1"/>
      </top>
      <bottom/>
      <diagonal/>
    </border>
    <border>
      <left style="thick">
        <color auto="1"/>
      </left>
      <right/>
      <top style="dotted">
        <color auto="1"/>
      </top>
      <bottom/>
      <diagonal/>
    </border>
    <border>
      <left/>
      <right style="thick">
        <color auto="1"/>
      </right>
      <top style="dotted">
        <color auto="1"/>
      </top>
      <bottom/>
      <diagonal/>
    </border>
    <border>
      <left style="thick">
        <color auto="1"/>
      </left>
      <right style="thick">
        <color auto="1"/>
      </right>
      <top style="dotted">
        <color auto="1"/>
      </top>
      <bottom/>
      <diagonal/>
    </border>
    <border>
      <left/>
      <right/>
      <top/>
      <bottom style="dotted">
        <color auto="1"/>
      </bottom>
      <diagonal/>
    </border>
    <border>
      <left style="thick">
        <color auto="1"/>
      </left>
      <right/>
      <top/>
      <bottom style="dotted">
        <color auto="1"/>
      </bottom>
      <diagonal/>
    </border>
    <border>
      <left/>
      <right style="thick">
        <color auto="1"/>
      </right>
      <top/>
      <bottom style="dotted">
        <color auto="1"/>
      </bottom>
      <diagonal/>
    </border>
    <border>
      <left style="thick">
        <color auto="1"/>
      </left>
      <right style="thick">
        <color auto="1"/>
      </right>
      <top/>
      <bottom style="dotted">
        <color auto="1"/>
      </bottom>
      <diagonal/>
    </border>
    <border>
      <left/>
      <right style="thick">
        <color auto="1"/>
      </right>
      <top style="thick">
        <color indexed="64"/>
      </top>
      <bottom style="mediumDashed">
        <color indexed="64"/>
      </bottom>
      <diagonal/>
    </border>
    <border>
      <left/>
      <right style="thick">
        <color auto="1"/>
      </right>
      <top style="thick">
        <color indexed="64"/>
      </top>
      <bottom style="dotted">
        <color indexed="64"/>
      </bottom>
      <diagonal/>
    </border>
    <border>
      <left style="thin">
        <color indexed="64"/>
      </left>
      <right/>
      <top/>
      <bottom/>
      <diagonal/>
    </border>
    <border>
      <left/>
      <right style="mediumDashDotDot">
        <color rgb="FFFF0000"/>
      </right>
      <top/>
      <bottom style="mediumDashed">
        <color rgb="FFFF0000"/>
      </bottom>
      <diagonal/>
    </border>
    <border>
      <left/>
      <right style="mediumDashDotDot">
        <color rgb="FFFF0000"/>
      </right>
      <top/>
      <bottom style="mediumDashDotDot">
        <color rgb="FFFF0000"/>
      </bottom>
      <diagonal/>
    </border>
    <border>
      <left/>
      <right style="mediumDashDotDot">
        <color rgb="FFFF0000"/>
      </right>
      <top/>
      <bottom/>
      <diagonal/>
    </border>
    <border>
      <left/>
      <right/>
      <top/>
      <bottom style="mediumDashDotDot">
        <color rgb="FFFF0000"/>
      </bottom>
      <diagonal/>
    </border>
    <border>
      <left/>
      <right/>
      <top/>
      <bottom style="thin">
        <color rgb="FFFF0000"/>
      </bottom>
      <diagonal/>
    </border>
    <border>
      <left style="medium">
        <color auto="1"/>
      </left>
      <right style="medium">
        <color auto="1"/>
      </right>
      <top/>
      <bottom/>
      <diagonal/>
    </border>
    <border>
      <left/>
      <right style="medium">
        <color auto="1"/>
      </right>
      <top/>
      <bottom/>
      <diagonal/>
    </border>
    <border>
      <left style="medium">
        <color auto="1"/>
      </left>
      <right/>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rgb="FFFF0000"/>
      </bottom>
      <diagonal/>
    </border>
  </borders>
  <cellStyleXfs count="8">
    <xf numFmtId="0" fontId="0" fillId="0" borderId="0"/>
    <xf numFmtId="0" fontId="1" fillId="0" borderId="0">
      <alignment horizontal="center"/>
    </xf>
    <xf numFmtId="0" fontId="1" fillId="0" borderId="0">
      <alignment horizontal="center" textRotation="90"/>
    </xf>
    <xf numFmtId="0" fontId="2" fillId="0" borderId="0"/>
    <xf numFmtId="0" fontId="2" fillId="0" borderId="0"/>
    <xf numFmtId="9" fontId="42" fillId="0" borderId="0" applyFont="0" applyFill="0" applyBorder="0" applyAlignment="0" applyProtection="0"/>
    <xf numFmtId="0" fontId="51" fillId="0" borderId="0"/>
    <xf numFmtId="9" fontId="51" fillId="0" borderId="0" applyFont="0" applyFill="0" applyBorder="0" applyAlignment="0" applyProtection="0"/>
  </cellStyleXfs>
  <cellXfs count="243">
    <xf numFmtId="0" fontId="0" fillId="0" borderId="0" xfId="0"/>
    <xf numFmtId="0" fontId="0" fillId="0" borderId="0" xfId="0" applyAlignment="1">
      <alignment horizontal="right"/>
    </xf>
    <xf numFmtId="0" fontId="0" fillId="3" borderId="0" xfId="0" applyFill="1"/>
    <xf numFmtId="0" fontId="0" fillId="3" borderId="0" xfId="0" applyFill="1" applyBorder="1"/>
    <xf numFmtId="0" fontId="0" fillId="0" borderId="4" xfId="0" applyBorder="1" applyAlignment="1">
      <alignment horizontal="right"/>
    </xf>
    <xf numFmtId="0" fontId="0" fillId="0" borderId="5" xfId="0" applyBorder="1" applyAlignment="1">
      <alignment horizontal="right"/>
    </xf>
    <xf numFmtId="0" fontId="0" fillId="0" borderId="6" xfId="0" applyBorder="1" applyAlignment="1">
      <alignment horizontal="right"/>
    </xf>
    <xf numFmtId="0" fontId="0" fillId="0" borderId="2" xfId="0" applyBorder="1" applyAlignment="1">
      <alignment horizontal="center"/>
    </xf>
    <xf numFmtId="0" fontId="0" fillId="0" borderId="0" xfId="0" applyBorder="1" applyAlignment="1">
      <alignment horizontal="center"/>
    </xf>
    <xf numFmtId="0" fontId="0" fillId="0" borderId="3" xfId="0" applyBorder="1" applyAlignment="1">
      <alignment horizontal="center"/>
    </xf>
    <xf numFmtId="164" fontId="0" fillId="0" borderId="0" xfId="0" applyNumberFormat="1" applyBorder="1" applyAlignment="1">
      <alignment horizontal="center"/>
    </xf>
    <xf numFmtId="0" fontId="0" fillId="0" borderId="0" xfId="0" applyAlignment="1">
      <alignment horizontal="center" vertical="center"/>
    </xf>
    <xf numFmtId="164" fontId="0" fillId="0" borderId="0" xfId="0" applyNumberFormat="1" applyAlignment="1">
      <alignment horizontal="center" vertical="center"/>
    </xf>
    <xf numFmtId="0" fontId="0" fillId="2" borderId="0" xfId="0" applyFill="1" applyAlignment="1">
      <alignment horizontal="center"/>
    </xf>
    <xf numFmtId="164" fontId="0" fillId="4" borderId="0" xfId="0" applyNumberFormat="1" applyFill="1" applyBorder="1" applyAlignment="1">
      <alignment horizontal="center"/>
    </xf>
    <xf numFmtId="164" fontId="0" fillId="4" borderId="0" xfId="0" applyNumberFormat="1" applyFill="1" applyAlignment="1">
      <alignment horizontal="center" vertical="center"/>
    </xf>
    <xf numFmtId="0" fontId="0" fillId="0" borderId="1" xfId="0" applyBorder="1"/>
    <xf numFmtId="9" fontId="0" fillId="0" borderId="1" xfId="0" applyNumberFormat="1" applyBorder="1" applyAlignment="1">
      <alignment horizontal="center"/>
    </xf>
    <xf numFmtId="9" fontId="0" fillId="4" borderId="1" xfId="0" applyNumberFormat="1" applyFill="1" applyBorder="1" applyAlignment="1">
      <alignment horizontal="center"/>
    </xf>
    <xf numFmtId="164" fontId="0" fillId="0" borderId="0" xfId="0" applyNumberFormat="1" applyFill="1" applyBorder="1" applyAlignment="1">
      <alignment horizontal="center"/>
    </xf>
    <xf numFmtId="0" fontId="0" fillId="0" borderId="3" xfId="0" applyFill="1" applyBorder="1" applyAlignment="1">
      <alignment horizontal="center"/>
    </xf>
    <xf numFmtId="0" fontId="0" fillId="0" borderId="0" xfId="0" applyFill="1" applyAlignment="1">
      <alignment horizontal="center" vertical="center"/>
    </xf>
    <xf numFmtId="164" fontId="0" fillId="0" borderId="0" xfId="0" applyNumberFormat="1" applyFill="1" applyAlignment="1">
      <alignment horizontal="center" vertical="center"/>
    </xf>
    <xf numFmtId="9" fontId="0" fillId="0" borderId="1" xfId="0" applyNumberFormat="1" applyFill="1" applyBorder="1" applyAlignment="1">
      <alignment horizontal="center"/>
    </xf>
    <xf numFmtId="166" fontId="0" fillId="0" borderId="1" xfId="0" applyNumberFormat="1" applyBorder="1" applyAlignment="1">
      <alignment horizontal="center"/>
    </xf>
    <xf numFmtId="166" fontId="0" fillId="4" borderId="1" xfId="0" applyNumberFormat="1" applyFill="1" applyBorder="1" applyAlignment="1">
      <alignment horizontal="center"/>
    </xf>
    <xf numFmtId="166" fontId="0" fillId="0" borderId="1" xfId="0" applyNumberFormat="1" applyFill="1" applyBorder="1" applyAlignment="1">
      <alignment horizontal="center"/>
    </xf>
    <xf numFmtId="0" fontId="3" fillId="0" borderId="0" xfId="0" applyFont="1" applyAlignment="1">
      <alignment horizontal="center"/>
    </xf>
    <xf numFmtId="165" fontId="3" fillId="0" borderId="0" xfId="0" applyNumberFormat="1" applyFont="1" applyAlignment="1">
      <alignment horizontal="center"/>
    </xf>
    <xf numFmtId="0" fontId="4" fillId="0" borderId="0" xfId="0" applyFont="1"/>
    <xf numFmtId="0" fontId="5" fillId="0" borderId="0" xfId="0" applyFont="1" applyAlignment="1">
      <alignment horizontal="center"/>
    </xf>
    <xf numFmtId="0" fontId="6" fillId="0" borderId="0" xfId="0" applyFont="1" applyAlignment="1">
      <alignment horizontal="center"/>
    </xf>
    <xf numFmtId="0" fontId="0" fillId="0" borderId="4" xfId="0" applyBorder="1"/>
    <xf numFmtId="0" fontId="0" fillId="5" borderId="4" xfId="0" applyFill="1" applyBorder="1"/>
    <xf numFmtId="0" fontId="0" fillId="0" borderId="4" xfId="0" quotePrefix="1" applyBorder="1"/>
    <xf numFmtId="165" fontId="3" fillId="4" borderId="0" xfId="0" applyNumberFormat="1" applyFont="1" applyFill="1" applyAlignment="1">
      <alignment horizontal="center"/>
    </xf>
    <xf numFmtId="164" fontId="3" fillId="0" borderId="0" xfId="0" applyNumberFormat="1" applyFont="1" applyAlignment="1">
      <alignment horizontal="center"/>
    </xf>
    <xf numFmtId="165" fontId="0" fillId="0" borderId="2" xfId="0" applyNumberFormat="1" applyBorder="1" applyAlignment="1">
      <alignment horizontal="center"/>
    </xf>
    <xf numFmtId="165" fontId="0" fillId="0" borderId="3" xfId="0" applyNumberFormat="1" applyBorder="1" applyAlignment="1">
      <alignment horizontal="center"/>
    </xf>
    <xf numFmtId="165" fontId="0" fillId="0" borderId="0" xfId="0" applyNumberFormat="1" applyAlignment="1">
      <alignment horizontal="center" vertical="center"/>
    </xf>
    <xf numFmtId="165" fontId="0" fillId="0" borderId="0" xfId="0" applyNumberFormat="1" applyFill="1" applyAlignment="1">
      <alignment horizontal="center" vertical="center"/>
    </xf>
    <xf numFmtId="2" fontId="3" fillId="0" borderId="8" xfId="0" applyNumberFormat="1" applyFont="1" applyBorder="1" applyAlignment="1">
      <alignment horizontal="center"/>
    </xf>
    <xf numFmtId="2" fontId="3" fillId="0" borderId="0" xfId="0" applyNumberFormat="1" applyFont="1" applyBorder="1" applyAlignment="1">
      <alignment horizontal="center"/>
    </xf>
    <xf numFmtId="2" fontId="3" fillId="0" borderId="12" xfId="0" applyNumberFormat="1" applyFont="1" applyBorder="1" applyAlignment="1">
      <alignment horizontal="center"/>
    </xf>
    <xf numFmtId="0" fontId="0" fillId="5" borderId="0" xfId="0" applyFill="1"/>
    <xf numFmtId="0" fontId="0" fillId="2" borderId="2" xfId="0" applyFill="1" applyBorder="1" applyAlignment="1">
      <alignment horizontal="center"/>
    </xf>
    <xf numFmtId="0" fontId="0" fillId="3" borderId="0" xfId="0" applyFill="1" applyBorder="1" applyAlignment="1">
      <alignment horizontal="center"/>
    </xf>
    <xf numFmtId="0" fontId="0" fillId="3" borderId="3" xfId="0" applyFill="1" applyBorder="1" applyAlignment="1">
      <alignment horizontal="center"/>
    </xf>
    <xf numFmtId="166" fontId="0" fillId="0" borderId="11" xfId="0" applyNumberFormat="1" applyBorder="1" applyAlignment="1">
      <alignment horizontal="center"/>
    </xf>
    <xf numFmtId="166" fontId="0" fillId="0" borderId="15" xfId="0" applyNumberFormat="1" applyBorder="1" applyAlignment="1">
      <alignment horizontal="center"/>
    </xf>
    <xf numFmtId="0" fontId="3" fillId="4" borderId="0" xfId="0" applyFont="1" applyFill="1" applyAlignment="1">
      <alignment horizontal="center"/>
    </xf>
    <xf numFmtId="0" fontId="3" fillId="0" borderId="0" xfId="0" applyFont="1" applyFill="1" applyAlignment="1">
      <alignment horizontal="center"/>
    </xf>
    <xf numFmtId="0" fontId="0" fillId="0" borderId="2" xfId="0" applyFill="1" applyBorder="1" applyAlignment="1">
      <alignment horizontal="center"/>
    </xf>
    <xf numFmtId="165" fontId="0" fillId="0" borderId="9" xfId="0" applyNumberFormat="1" applyBorder="1" applyAlignment="1">
      <alignment horizontal="center"/>
    </xf>
    <xf numFmtId="165" fontId="0" fillId="0" borderId="13" xfId="0" applyNumberFormat="1" applyBorder="1" applyAlignment="1">
      <alignment horizontal="center"/>
    </xf>
    <xf numFmtId="165" fontId="0" fillId="0" borderId="10" xfId="0" applyNumberFormat="1" applyBorder="1" applyAlignment="1">
      <alignment horizontal="center"/>
    </xf>
    <xf numFmtId="165" fontId="0" fillId="0" borderId="8" xfId="0" applyNumberFormat="1" applyBorder="1" applyAlignment="1">
      <alignment horizontal="center" vertical="center"/>
    </xf>
    <xf numFmtId="165" fontId="0" fillId="0" borderId="0" xfId="0" applyNumberFormat="1" applyBorder="1" applyAlignment="1">
      <alignment horizontal="center" vertical="center"/>
    </xf>
    <xf numFmtId="165" fontId="0" fillId="0" borderId="14" xfId="0" applyNumberFormat="1" applyBorder="1" applyAlignment="1">
      <alignment horizontal="center"/>
    </xf>
    <xf numFmtId="165" fontId="0" fillId="0" borderId="12" xfId="0" applyNumberFormat="1" applyBorder="1" applyAlignment="1">
      <alignment horizontal="center" vertical="center"/>
    </xf>
    <xf numFmtId="164" fontId="0" fillId="0" borderId="8" xfId="0" applyNumberFormat="1" applyBorder="1" applyAlignment="1">
      <alignment horizontal="center" vertical="center"/>
    </xf>
    <xf numFmtId="164" fontId="0" fillId="0" borderId="0" xfId="0" applyNumberFormat="1" applyBorder="1" applyAlignment="1">
      <alignment horizontal="center" vertical="center"/>
    </xf>
    <xf numFmtId="164" fontId="0" fillId="0" borderId="12" xfId="0" applyNumberFormat="1" applyBorder="1" applyAlignment="1">
      <alignment horizontal="center" vertical="center"/>
    </xf>
    <xf numFmtId="164" fontId="0" fillId="0" borderId="8" xfId="0" applyNumberFormat="1" applyBorder="1" applyAlignment="1">
      <alignment horizontal="center"/>
    </xf>
    <xf numFmtId="164" fontId="0" fillId="0" borderId="12" xfId="0" applyNumberFormat="1" applyBorder="1" applyAlignment="1">
      <alignment horizontal="center"/>
    </xf>
    <xf numFmtId="0" fontId="3" fillId="0" borderId="16" xfId="0" applyFont="1" applyBorder="1" applyAlignment="1">
      <alignment horizontal="center"/>
    </xf>
    <xf numFmtId="0" fontId="0" fillId="5" borderId="4" xfId="0" applyFill="1" applyBorder="1" applyAlignment="1">
      <alignment horizontal="right"/>
    </xf>
    <xf numFmtId="0" fontId="0" fillId="5" borderId="4" xfId="0" applyFill="1" applyBorder="1" applyAlignment="1">
      <alignment horizontal="right" vertical="center" indent="1"/>
    </xf>
    <xf numFmtId="0" fontId="3" fillId="0" borderId="17" xfId="0" applyFont="1" applyBorder="1" applyAlignment="1">
      <alignment horizontal="center"/>
    </xf>
    <xf numFmtId="0" fontId="0" fillId="6" borderId="0" xfId="0" applyFill="1" applyAlignment="1">
      <alignment horizontal="center"/>
    </xf>
    <xf numFmtId="0" fontId="0" fillId="3" borderId="0" xfId="0" applyFill="1" applyAlignment="1">
      <alignment horizontal="center" vertical="center"/>
    </xf>
    <xf numFmtId="0" fontId="9" fillId="0" borderId="0" xfId="0" applyFont="1"/>
    <xf numFmtId="0" fontId="9" fillId="6" borderId="0" xfId="0" applyFont="1" applyFill="1" applyAlignment="1">
      <alignment horizontal="center"/>
    </xf>
    <xf numFmtId="0" fontId="0" fillId="2" borderId="18" xfId="0" applyFill="1" applyBorder="1" applyAlignment="1">
      <alignment horizontal="center"/>
    </xf>
    <xf numFmtId="0" fontId="0" fillId="5" borderId="0" xfId="0" applyFill="1" applyAlignment="1">
      <alignment horizontal="right"/>
    </xf>
    <xf numFmtId="0" fontId="10" fillId="5" borderId="7" xfId="0" applyFont="1" applyFill="1" applyBorder="1" applyAlignment="1">
      <alignment horizontal="center"/>
    </xf>
    <xf numFmtId="0" fontId="11" fillId="7" borderId="0" xfId="0" applyFont="1" applyFill="1" applyAlignment="1">
      <alignment horizontal="right"/>
    </xf>
    <xf numFmtId="49" fontId="11" fillId="7" borderId="0" xfId="0" quotePrefix="1" applyNumberFormat="1" applyFont="1" applyFill="1" applyAlignment="1">
      <alignment horizontal="center"/>
    </xf>
    <xf numFmtId="0" fontId="11" fillId="7" borderId="0" xfId="0" quotePrefix="1" applyFont="1" applyFill="1" applyAlignment="1">
      <alignment horizontal="center"/>
    </xf>
    <xf numFmtId="0" fontId="11" fillId="7" borderId="0" xfId="0" quotePrefix="1" applyFont="1" applyFill="1" applyAlignment="1">
      <alignment horizontal="center" vertical="center"/>
    </xf>
    <xf numFmtId="0" fontId="11" fillId="7" borderId="0" xfId="0" applyFont="1" applyFill="1" applyAlignment="1">
      <alignment horizontal="center"/>
    </xf>
    <xf numFmtId="0" fontId="15" fillId="0" borderId="0" xfId="0" applyFont="1"/>
    <xf numFmtId="0" fontId="17" fillId="0" borderId="0" xfId="0" applyFont="1" applyAlignment="1">
      <alignment horizontal="center"/>
    </xf>
    <xf numFmtId="0" fontId="18" fillId="0" borderId="0" xfId="0" applyFont="1" applyAlignment="1">
      <alignment horizontal="center"/>
    </xf>
    <xf numFmtId="0" fontId="20" fillId="0" borderId="0" xfId="0" applyFont="1" applyAlignment="1">
      <alignment horizontal="center"/>
    </xf>
    <xf numFmtId="0" fontId="20" fillId="0" borderId="0" xfId="0" applyFont="1" applyAlignment="1">
      <alignment horizontal="left"/>
    </xf>
    <xf numFmtId="0" fontId="20" fillId="0" borderId="0" xfId="0" applyFont="1"/>
    <xf numFmtId="0" fontId="0" fillId="8" borderId="0" xfId="0" applyFill="1"/>
    <xf numFmtId="0" fontId="4" fillId="8" borderId="0" xfId="0" applyFont="1" applyFill="1" applyAlignment="1">
      <alignment horizontal="right"/>
    </xf>
    <xf numFmtId="0" fontId="4" fillId="8" borderId="0" xfId="0" applyFont="1" applyFill="1" applyAlignment="1">
      <alignment horizontal="center"/>
    </xf>
    <xf numFmtId="0" fontId="0" fillId="8" borderId="0" xfId="0" applyFill="1" applyAlignment="1">
      <alignment horizontal="center"/>
    </xf>
    <xf numFmtId="0" fontId="4" fillId="3" borderId="0" xfId="0" applyFont="1" applyFill="1" applyAlignment="1">
      <alignment horizontal="right"/>
    </xf>
    <xf numFmtId="0" fontId="4" fillId="3" borderId="0" xfId="0" applyFont="1" applyFill="1" applyAlignment="1">
      <alignment horizontal="center"/>
    </xf>
    <xf numFmtId="0" fontId="0" fillId="3" borderId="0" xfId="0" applyFill="1" applyAlignment="1">
      <alignment horizontal="center"/>
    </xf>
    <xf numFmtId="0" fontId="0" fillId="8" borderId="0" xfId="0" quotePrefix="1" applyFill="1"/>
    <xf numFmtId="0" fontId="0" fillId="3" borderId="0" xfId="0" quotePrefix="1" applyFill="1"/>
    <xf numFmtId="0" fontId="6" fillId="0" borderId="0" xfId="0" applyFont="1"/>
    <xf numFmtId="0" fontId="22" fillId="0" borderId="0" xfId="0" applyFont="1"/>
    <xf numFmtId="0" fontId="19" fillId="0" borderId="0" xfId="0" applyFont="1"/>
    <xf numFmtId="0" fontId="19" fillId="0" borderId="0" xfId="0" applyFont="1" applyAlignment="1">
      <alignment horizontal="center"/>
    </xf>
    <xf numFmtId="0" fontId="23" fillId="0" borderId="0" xfId="0" applyFont="1"/>
    <xf numFmtId="0" fontId="25" fillId="0" borderId="0" xfId="0" applyFont="1"/>
    <xf numFmtId="0" fontId="34" fillId="5" borderId="0" xfId="0" applyFont="1" applyFill="1"/>
    <xf numFmtId="0" fontId="34" fillId="0" borderId="0" xfId="0" applyFont="1"/>
    <xf numFmtId="0" fontId="8" fillId="0" borderId="0" xfId="0" applyFont="1" applyBorder="1" applyAlignment="1">
      <alignment horizontal="center"/>
    </xf>
    <xf numFmtId="0" fontId="30" fillId="0" borderId="0" xfId="0" applyFont="1" applyBorder="1" applyAlignment="1">
      <alignment horizontal="center"/>
    </xf>
    <xf numFmtId="0" fontId="32" fillId="0" borderId="0" xfId="0" applyFont="1" applyBorder="1" applyAlignment="1">
      <alignment horizontal="center"/>
    </xf>
    <xf numFmtId="0" fontId="31" fillId="0" borderId="0" xfId="0" applyFont="1" applyBorder="1" applyAlignment="1">
      <alignment horizontal="center"/>
    </xf>
    <xf numFmtId="0" fontId="33" fillId="0" borderId="0" xfId="0" applyFont="1" applyBorder="1" applyAlignment="1">
      <alignment horizontal="center"/>
    </xf>
    <xf numFmtId="0" fontId="8" fillId="0" borderId="19" xfId="0" applyFont="1" applyBorder="1" applyAlignment="1">
      <alignment horizontal="center"/>
    </xf>
    <xf numFmtId="0" fontId="0" fillId="0" borderId="21" xfId="0" applyBorder="1"/>
    <xf numFmtId="0" fontId="33" fillId="0" borderId="21" xfId="0" applyFont="1" applyBorder="1"/>
    <xf numFmtId="0" fontId="31" fillId="0" borderId="21" xfId="0" applyFont="1" applyBorder="1"/>
    <xf numFmtId="0" fontId="32" fillId="0" borderId="21" xfId="0" applyFont="1" applyBorder="1"/>
    <xf numFmtId="0" fontId="30" fillId="0" borderId="22" xfId="0" applyFont="1" applyBorder="1"/>
    <xf numFmtId="0" fontId="8" fillId="0" borderId="20" xfId="0" applyFont="1" applyBorder="1"/>
    <xf numFmtId="0" fontId="8" fillId="0" borderId="0" xfId="0" applyFont="1"/>
    <xf numFmtId="0" fontId="6" fillId="0" borderId="0" xfId="0" applyFont="1" applyAlignment="1">
      <alignment horizontal="right"/>
    </xf>
    <xf numFmtId="0" fontId="8" fillId="0" borderId="0" xfId="0" applyFont="1" applyAlignment="1">
      <alignment horizontal="center"/>
    </xf>
    <xf numFmtId="165" fontId="5" fillId="0" borderId="0" xfId="0" applyNumberFormat="1" applyFont="1" applyAlignment="1">
      <alignment horizontal="center"/>
    </xf>
    <xf numFmtId="0" fontId="0" fillId="4" borderId="0" xfId="0" applyFill="1"/>
    <xf numFmtId="0" fontId="0" fillId="3" borderId="0" xfId="0" applyFill="1" applyAlignment="1">
      <alignment horizontal="right"/>
    </xf>
    <xf numFmtId="0" fontId="0" fillId="0" borderId="0" xfId="0" quotePrefix="1"/>
    <xf numFmtId="0" fontId="36" fillId="5" borderId="0" xfId="0" applyFont="1" applyFill="1" applyAlignment="1">
      <alignment horizontal="center"/>
    </xf>
    <xf numFmtId="1" fontId="6" fillId="4" borderId="0" xfId="0" applyNumberFormat="1" applyFont="1" applyFill="1" applyAlignment="1">
      <alignment horizontal="center"/>
    </xf>
    <xf numFmtId="1" fontId="6" fillId="0" borderId="0" xfId="0" applyNumberFormat="1" applyFont="1" applyFill="1" applyAlignment="1">
      <alignment horizontal="center"/>
    </xf>
    <xf numFmtId="0" fontId="8" fillId="0" borderId="23" xfId="0" applyFont="1" applyBorder="1" applyAlignment="1">
      <alignment horizontal="center"/>
    </xf>
    <xf numFmtId="164" fontId="4" fillId="10" borderId="0" xfId="0" applyNumberFormat="1" applyFont="1" applyFill="1" applyAlignment="1">
      <alignment horizontal="center"/>
    </xf>
    <xf numFmtId="164" fontId="4" fillId="11" borderId="0" xfId="0" applyNumberFormat="1" applyFont="1" applyFill="1" applyAlignment="1">
      <alignment horizontal="center"/>
    </xf>
    <xf numFmtId="164" fontId="4" fillId="12" borderId="0" xfId="0" applyNumberFormat="1" applyFont="1" applyFill="1" applyAlignment="1">
      <alignment horizontal="center"/>
    </xf>
    <xf numFmtId="164" fontId="4" fillId="13" borderId="0" xfId="0" applyNumberFormat="1" applyFont="1" applyFill="1" applyAlignment="1">
      <alignment horizontal="center"/>
    </xf>
    <xf numFmtId="164" fontId="4" fillId="14" borderId="0" xfId="0" applyNumberFormat="1" applyFont="1" applyFill="1" applyAlignment="1">
      <alignment horizontal="center"/>
    </xf>
    <xf numFmtId="165" fontId="4" fillId="15" borderId="0" xfId="0" applyNumberFormat="1" applyFont="1" applyFill="1" applyAlignment="1">
      <alignment horizontal="center"/>
    </xf>
    <xf numFmtId="164" fontId="4" fillId="16" borderId="0" xfId="0" applyNumberFormat="1" applyFont="1" applyFill="1" applyAlignment="1">
      <alignment horizontal="center"/>
    </xf>
    <xf numFmtId="164" fontId="4" fillId="17" borderId="0" xfId="0" applyNumberFormat="1" applyFont="1" applyFill="1" applyAlignment="1">
      <alignment horizontal="center"/>
    </xf>
    <xf numFmtId="164" fontId="4" fillId="9" borderId="0" xfId="0" applyNumberFormat="1" applyFont="1" applyFill="1" applyAlignment="1">
      <alignment horizontal="center"/>
    </xf>
    <xf numFmtId="164" fontId="4" fillId="18" borderId="0" xfId="0" applyNumberFormat="1" applyFont="1" applyFill="1" applyAlignment="1">
      <alignment horizontal="center"/>
    </xf>
    <xf numFmtId="164" fontId="4" fillId="15" borderId="0" xfId="0" applyNumberFormat="1" applyFont="1" applyFill="1" applyAlignment="1">
      <alignment horizontal="center"/>
    </xf>
    <xf numFmtId="164" fontId="4" fillId="19" borderId="0" xfId="0" applyNumberFormat="1" applyFont="1" applyFill="1" applyAlignment="1">
      <alignment horizontal="center"/>
    </xf>
    <xf numFmtId="0" fontId="0" fillId="0" borderId="23" xfId="0" applyBorder="1" applyAlignment="1">
      <alignment horizontal="left" vertical="center"/>
    </xf>
    <xf numFmtId="0" fontId="0" fillId="0" borderId="0" xfId="0" applyAlignment="1">
      <alignment horizontal="left"/>
    </xf>
    <xf numFmtId="0" fontId="8" fillId="0" borderId="23" xfId="0" applyFont="1" applyBorder="1" applyAlignment="1">
      <alignment horizontal="right"/>
    </xf>
    <xf numFmtId="164" fontId="4" fillId="12" borderId="0" xfId="0" applyNumberFormat="1" applyFont="1" applyFill="1" applyAlignment="1">
      <alignment horizontal="right"/>
    </xf>
    <xf numFmtId="164" fontId="4" fillId="11" borderId="0" xfId="0" applyNumberFormat="1" applyFont="1" applyFill="1" applyAlignment="1">
      <alignment horizontal="right"/>
    </xf>
    <xf numFmtId="164" fontId="4" fillId="13" borderId="0" xfId="0" applyNumberFormat="1" applyFont="1" applyFill="1" applyAlignment="1">
      <alignment horizontal="right"/>
    </xf>
    <xf numFmtId="164" fontId="4" fillId="14" borderId="0" xfId="0" applyNumberFormat="1" applyFont="1" applyFill="1" applyAlignment="1">
      <alignment horizontal="right"/>
    </xf>
    <xf numFmtId="165" fontId="4" fillId="15" borderId="0" xfId="0" applyNumberFormat="1" applyFont="1" applyFill="1" applyAlignment="1">
      <alignment horizontal="right"/>
    </xf>
    <xf numFmtId="164" fontId="4" fillId="16" borderId="0" xfId="0" applyNumberFormat="1" applyFont="1" applyFill="1" applyAlignment="1">
      <alignment horizontal="right"/>
    </xf>
    <xf numFmtId="164" fontId="4" fillId="10" borderId="0" xfId="0" applyNumberFormat="1" applyFont="1" applyFill="1" applyAlignment="1">
      <alignment horizontal="right"/>
    </xf>
    <xf numFmtId="164" fontId="4" fillId="9" borderId="0" xfId="0" applyNumberFormat="1" applyFont="1" applyFill="1" applyAlignment="1">
      <alignment horizontal="right"/>
    </xf>
    <xf numFmtId="164" fontId="4" fillId="18" borderId="0" xfId="0" applyNumberFormat="1" applyFont="1" applyFill="1" applyAlignment="1">
      <alignment horizontal="right"/>
    </xf>
    <xf numFmtId="164" fontId="4" fillId="19" borderId="0" xfId="0" applyNumberFormat="1" applyFont="1" applyFill="1" applyAlignment="1">
      <alignment horizontal="right"/>
    </xf>
    <xf numFmtId="164" fontId="4" fillId="15" borderId="0" xfId="0" applyNumberFormat="1" applyFont="1" applyFill="1" applyAlignment="1">
      <alignment horizontal="right"/>
    </xf>
    <xf numFmtId="0" fontId="38" fillId="0" borderId="0" xfId="0" applyFont="1" applyAlignment="1">
      <alignment horizontal="right"/>
    </xf>
    <xf numFmtId="164" fontId="4" fillId="7" borderId="0" xfId="0" applyNumberFormat="1" applyFont="1" applyFill="1" applyAlignment="1">
      <alignment horizontal="right"/>
    </xf>
    <xf numFmtId="164" fontId="4" fillId="7" borderId="0" xfId="0" applyNumberFormat="1" applyFont="1" applyFill="1" applyAlignment="1">
      <alignment horizontal="center"/>
    </xf>
    <xf numFmtId="164" fontId="4" fillId="21" borderId="0" xfId="0" applyNumberFormat="1" applyFont="1" applyFill="1" applyAlignment="1">
      <alignment horizontal="center"/>
    </xf>
    <xf numFmtId="0" fontId="37" fillId="20" borderId="0" xfId="0" applyFont="1" applyFill="1" applyAlignment="1">
      <alignment horizontal="center"/>
    </xf>
    <xf numFmtId="0" fontId="4" fillId="22" borderId="0" xfId="0" applyFont="1" applyFill="1" applyAlignment="1">
      <alignment horizontal="center"/>
    </xf>
    <xf numFmtId="164" fontId="4" fillId="21" borderId="0" xfId="0" applyNumberFormat="1" applyFont="1" applyFill="1" applyAlignment="1">
      <alignment horizontal="right"/>
    </xf>
    <xf numFmtId="0" fontId="37" fillId="20" borderId="0" xfId="0" applyFont="1" applyFill="1" applyAlignment="1">
      <alignment horizontal="right"/>
    </xf>
    <xf numFmtId="164" fontId="4" fillId="17" borderId="0" xfId="0" applyNumberFormat="1" applyFont="1" applyFill="1" applyAlignment="1">
      <alignment horizontal="right"/>
    </xf>
    <xf numFmtId="0" fontId="4" fillId="22" borderId="0" xfId="0" applyFont="1" applyFill="1" applyAlignment="1">
      <alignment horizontal="right"/>
    </xf>
    <xf numFmtId="0" fontId="0" fillId="4" borderId="0" xfId="0" applyFill="1" applyAlignment="1">
      <alignment horizontal="left"/>
    </xf>
    <xf numFmtId="0" fontId="0" fillId="0" borderId="3" xfId="0" applyBorder="1"/>
    <xf numFmtId="0" fontId="0" fillId="2" borderId="0" xfId="0" applyFill="1" applyBorder="1" applyAlignment="1">
      <alignment horizontal="center"/>
    </xf>
    <xf numFmtId="164" fontId="3" fillId="0" borderId="0" xfId="0" applyNumberFormat="1" applyFont="1" applyBorder="1" applyAlignment="1">
      <alignment horizontal="center"/>
    </xf>
    <xf numFmtId="164" fontId="3" fillId="0" borderId="12" xfId="0" applyNumberFormat="1" applyFont="1" applyBorder="1" applyAlignment="1">
      <alignment horizontal="center"/>
    </xf>
    <xf numFmtId="0" fontId="3" fillId="8" borderId="0" xfId="0" applyFont="1" applyFill="1"/>
    <xf numFmtId="0" fontId="10" fillId="0" borderId="0" xfId="0" applyFont="1" applyAlignment="1"/>
    <xf numFmtId="2" fontId="0" fillId="0" borderId="0" xfId="0" applyNumberFormat="1"/>
    <xf numFmtId="164" fontId="0" fillId="0" borderId="0" xfId="0" applyNumberFormat="1"/>
    <xf numFmtId="0" fontId="0" fillId="23" borderId="0" xfId="0" applyFill="1"/>
    <xf numFmtId="0" fontId="43" fillId="0" borderId="0" xfId="0" applyFont="1"/>
    <xf numFmtId="0" fontId="44" fillId="8" borderId="0" xfId="0" applyFont="1" applyFill="1" applyAlignment="1">
      <alignment horizontal="center"/>
    </xf>
    <xf numFmtId="0" fontId="4" fillId="8" borderId="0" xfId="0" applyFont="1" applyFill="1"/>
    <xf numFmtId="0" fontId="0" fillId="0" borderId="0" xfId="0" applyFill="1"/>
    <xf numFmtId="0" fontId="4" fillId="0" borderId="0" xfId="0" applyFont="1" applyFill="1"/>
    <xf numFmtId="0" fontId="4" fillId="24" borderId="0" xfId="0" applyFont="1" applyFill="1"/>
    <xf numFmtId="0" fontId="0" fillId="24" borderId="0" xfId="0" applyFill="1"/>
    <xf numFmtId="0" fontId="0" fillId="0" borderId="0" xfId="0" applyAlignment="1">
      <alignment horizontal="center"/>
    </xf>
    <xf numFmtId="0" fontId="0" fillId="0" borderId="0" xfId="0" applyFont="1"/>
    <xf numFmtId="2" fontId="0" fillId="0" borderId="0" xfId="0" applyNumberFormat="1" applyFont="1"/>
    <xf numFmtId="0" fontId="45" fillId="0" borderId="0" xfId="0" quotePrefix="1" applyFont="1"/>
    <xf numFmtId="0" fontId="0" fillId="0" borderId="4" xfId="0" applyBorder="1" applyAlignment="1">
      <alignment horizontal="center"/>
    </xf>
    <xf numFmtId="0" fontId="0" fillId="0" borderId="29" xfId="0" applyBorder="1" applyAlignment="1">
      <alignment horizontal="center"/>
    </xf>
    <xf numFmtId="0" fontId="0" fillId="0" borderId="28" xfId="0" applyBorder="1" applyAlignment="1">
      <alignment horizontal="center"/>
    </xf>
    <xf numFmtId="0" fontId="0" fillId="0" borderId="27" xfId="0" applyBorder="1" applyAlignment="1">
      <alignment horizontal="center"/>
    </xf>
    <xf numFmtId="2" fontId="0" fillId="0" borderId="26" xfId="0" applyNumberFormat="1" applyBorder="1" applyAlignment="1">
      <alignment horizontal="center"/>
    </xf>
    <xf numFmtId="2" fontId="0" fillId="0" borderId="0" xfId="0" applyNumberFormat="1" applyAlignment="1">
      <alignment horizontal="center"/>
    </xf>
    <xf numFmtId="2" fontId="0" fillId="0" borderId="25" xfId="0" applyNumberFormat="1" applyBorder="1" applyAlignment="1">
      <alignment horizontal="center"/>
    </xf>
    <xf numFmtId="9" fontId="0" fillId="0" borderId="24" xfId="5" applyFont="1" applyBorder="1" applyAlignment="1">
      <alignment horizontal="center"/>
    </xf>
    <xf numFmtId="164" fontId="0" fillId="0" borderId="18" xfId="0" applyNumberFormat="1" applyBorder="1"/>
    <xf numFmtId="0" fontId="0" fillId="0" borderId="0" xfId="0" applyBorder="1"/>
    <xf numFmtId="2" fontId="0" fillId="0" borderId="0" xfId="0" applyNumberFormat="1" applyBorder="1"/>
    <xf numFmtId="2" fontId="0" fillId="0" borderId="33" xfId="0" applyNumberFormat="1" applyBorder="1"/>
    <xf numFmtId="164" fontId="0" fillId="0" borderId="34" xfId="0" applyNumberFormat="1" applyBorder="1"/>
    <xf numFmtId="0" fontId="0" fillId="0" borderId="35" xfId="0" applyBorder="1"/>
    <xf numFmtId="2" fontId="0" fillId="0" borderId="35" xfId="0" applyNumberFormat="1" applyBorder="1"/>
    <xf numFmtId="2" fontId="0" fillId="0" borderId="36" xfId="0" applyNumberFormat="1" applyBorder="1"/>
    <xf numFmtId="0" fontId="46" fillId="5" borderId="0" xfId="0" applyFont="1" applyFill="1"/>
    <xf numFmtId="0" fontId="0" fillId="25" borderId="0" xfId="0" applyFill="1"/>
    <xf numFmtId="0" fontId="49" fillId="8" borderId="0" xfId="0" applyFont="1" applyFill="1" applyAlignment="1">
      <alignment horizontal="center"/>
    </xf>
    <xf numFmtId="0" fontId="50" fillId="8" borderId="0" xfId="0" applyFont="1" applyFill="1"/>
    <xf numFmtId="0" fontId="23" fillId="8" borderId="0" xfId="0" applyFont="1" applyFill="1"/>
    <xf numFmtId="0" fontId="23" fillId="8" borderId="3" xfId="0" applyFont="1" applyFill="1" applyBorder="1"/>
    <xf numFmtId="0" fontId="0" fillId="8" borderId="3" xfId="0" applyFill="1" applyBorder="1"/>
    <xf numFmtId="0" fontId="15" fillId="0" borderId="37" xfId="0" applyFont="1" applyBorder="1" applyAlignment="1">
      <alignment horizontal="center"/>
    </xf>
    <xf numFmtId="0" fontId="51" fillId="0" borderId="0" xfId="6"/>
    <xf numFmtId="0" fontId="51" fillId="0" borderId="0" xfId="6" applyFont="1"/>
    <xf numFmtId="0" fontId="53" fillId="0" borderId="0" xfId="6" applyFont="1"/>
    <xf numFmtId="0" fontId="51" fillId="26" borderId="0" xfId="6" applyFill="1"/>
    <xf numFmtId="0" fontId="0" fillId="23" borderId="0" xfId="0" applyFill="1" applyAlignment="1">
      <alignment horizontal="center"/>
    </xf>
    <xf numFmtId="9" fontId="0" fillId="23" borderId="0" xfId="5" applyFont="1" applyFill="1" applyAlignment="1">
      <alignment horizontal="center"/>
    </xf>
    <xf numFmtId="0" fontId="51" fillId="26" borderId="0" xfId="6" applyFill="1" applyAlignment="1">
      <alignment horizontal="center"/>
    </xf>
    <xf numFmtId="0" fontId="0" fillId="25" borderId="0" xfId="0" applyFill="1" applyAlignment="1">
      <alignment horizontal="center"/>
    </xf>
    <xf numFmtId="0" fontId="0" fillId="5" borderId="0" xfId="0" applyFill="1" applyAlignment="1">
      <alignment horizontal="center"/>
    </xf>
    <xf numFmtId="0" fontId="4" fillId="26" borderId="0" xfId="0" applyFont="1" applyFill="1"/>
    <xf numFmtId="0" fontId="0" fillId="26" borderId="0" xfId="0" applyFill="1"/>
    <xf numFmtId="0" fontId="4" fillId="5" borderId="0" xfId="0" applyFont="1" applyFill="1"/>
    <xf numFmtId="0" fontId="4" fillId="7" borderId="0" xfId="0" applyFont="1" applyFill="1"/>
    <xf numFmtId="2" fontId="55" fillId="0" borderId="0" xfId="0" applyNumberFormat="1" applyFont="1" applyAlignment="1">
      <alignment horizontal="right"/>
    </xf>
    <xf numFmtId="2" fontId="55" fillId="0" borderId="0" xfId="0" applyNumberFormat="1" applyFont="1" applyAlignment="1">
      <alignment horizontal="left"/>
    </xf>
    <xf numFmtId="0" fontId="0" fillId="7" borderId="0" xfId="0" applyFill="1"/>
    <xf numFmtId="2" fontId="51" fillId="0" borderId="26" xfId="6" applyNumberFormat="1" applyBorder="1" applyAlignment="1">
      <alignment horizontal="center"/>
    </xf>
    <xf numFmtId="2" fontId="51" fillId="0" borderId="0" xfId="6" applyNumberFormat="1" applyAlignment="1">
      <alignment horizontal="center"/>
    </xf>
    <xf numFmtId="0" fontId="43" fillId="0" borderId="4" xfId="0" applyFont="1" applyBorder="1" applyAlignment="1">
      <alignment horizontal="center"/>
    </xf>
    <xf numFmtId="0" fontId="51" fillId="0" borderId="29" xfId="6" applyFont="1" applyFill="1" applyBorder="1" applyAlignment="1">
      <alignment horizontal="center"/>
    </xf>
    <xf numFmtId="0" fontId="53" fillId="0" borderId="4" xfId="6" applyFont="1" applyFill="1" applyBorder="1" applyAlignment="1">
      <alignment horizontal="center"/>
    </xf>
    <xf numFmtId="0" fontId="57" fillId="0" borderId="4" xfId="0" applyFont="1" applyBorder="1" applyAlignment="1">
      <alignment horizontal="center"/>
    </xf>
    <xf numFmtId="0" fontId="30" fillId="0" borderId="4" xfId="0" applyFont="1" applyBorder="1" applyAlignment="1">
      <alignment horizontal="center"/>
    </xf>
    <xf numFmtId="0" fontId="58" fillId="0" borderId="4" xfId="0" applyFont="1" applyBorder="1" applyAlignment="1">
      <alignment horizontal="center"/>
    </xf>
    <xf numFmtId="0" fontId="3" fillId="0" borderId="4" xfId="0" applyFont="1" applyBorder="1" applyAlignment="1">
      <alignment horizontal="center"/>
    </xf>
    <xf numFmtId="164" fontId="0" fillId="0" borderId="30" xfId="0" applyNumberFormat="1" applyBorder="1"/>
    <xf numFmtId="0" fontId="0" fillId="0" borderId="31" xfId="0" applyBorder="1"/>
    <xf numFmtId="2" fontId="0" fillId="0" borderId="31" xfId="0" applyNumberFormat="1" applyBorder="1"/>
    <xf numFmtId="2" fontId="0" fillId="0" borderId="32" xfId="0" applyNumberFormat="1" applyBorder="1"/>
    <xf numFmtId="0" fontId="0" fillId="0" borderId="35" xfId="0" applyBorder="1" applyAlignment="1">
      <alignment horizontal="right"/>
    </xf>
    <xf numFmtId="164" fontId="0" fillId="0" borderId="35" xfId="0" applyNumberFormat="1" applyBorder="1"/>
    <xf numFmtId="0" fontId="0" fillId="27" borderId="0" xfId="0" applyFill="1" applyAlignment="1">
      <alignment horizontal="center"/>
    </xf>
    <xf numFmtId="0" fontId="55" fillId="27" borderId="0" xfId="0" applyFont="1" applyFill="1" applyAlignment="1">
      <alignment horizontal="left"/>
    </xf>
    <xf numFmtId="0" fontId="0" fillId="27" borderId="0" xfId="0" applyFill="1"/>
    <xf numFmtId="164" fontId="0" fillId="27" borderId="0" xfId="0" applyNumberFormat="1" applyFill="1"/>
  </cellXfs>
  <cellStyles count="8">
    <cellStyle name="Heading" xfId="1"/>
    <cellStyle name="Heading1" xfId="2"/>
    <cellStyle name="Prozent" xfId="5" builtinId="5"/>
    <cellStyle name="Prozent 2" xfId="7"/>
    <cellStyle name="Result" xfId="3"/>
    <cellStyle name="Result2" xfId="4"/>
    <cellStyle name="Standard" xfId="0" builtinId="0" customBuiltin="1"/>
    <cellStyle name="Standard 2" xfId="6"/>
  </cellStyles>
  <dxfs count="0"/>
  <tableStyles count="0" defaultTableStyle="TableStyleMedium2" defaultPivotStyle="PivotStyleLight16"/>
  <colors>
    <mruColors>
      <color rgb="FFF1800F"/>
      <color rgb="FFFF66CC"/>
      <color rgb="FFFF99FF"/>
      <color rgb="FFFFFF99"/>
      <color rgb="FF99FF33"/>
      <color rgb="FF548235"/>
      <color rgb="FFE3510F"/>
      <color rgb="FF6699FF"/>
      <color rgb="FFCCCC00"/>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de-DE"/>
  <c:roundedCorners val="0"/>
  <c:style val="2"/>
  <c:chart>
    <c:autoTitleDeleted val="1"/>
    <c:plotArea>
      <c:layout>
        <c:manualLayout>
          <c:xMode val="edge"/>
          <c:yMode val="edge"/>
          <c:x val="1.9889749702026224E-2"/>
          <c:y val="1.9924747733880623E-2"/>
          <c:w val="0.93452026221692497"/>
          <c:h val="0.94014024285958619"/>
        </c:manualLayout>
      </c:layout>
      <c:scatterChart>
        <c:scatterStyle val="smoothMarker"/>
        <c:varyColors val="0"/>
        <c:ser>
          <c:idx val="0"/>
          <c:order val="0"/>
          <c:tx>
            <c:strRef>
              <c:f>acce!$C$4:$C$4</c:f>
              <c:strCache>
                <c:ptCount val="1"/>
                <c:pt idx="0">
                  <c:v>ISF_old</c:v>
                </c:pt>
              </c:strCache>
            </c:strRef>
          </c:tx>
          <c:spPr>
            <a:ln w="31680">
              <a:solidFill>
                <a:srgbClr val="004586"/>
              </a:solidFill>
            </a:ln>
          </c:spPr>
          <c:marker>
            <c:symbol val="none"/>
          </c:marker>
          <c:xVal>
            <c:numRef>
              <c:f>acce!$I$5:$I$30</c:f>
              <c:numCache>
                <c:formatCode>General</c:formatCode>
                <c:ptCount val="26"/>
                <c:pt idx="0">
                  <c:v>0</c:v>
                </c:pt>
                <c:pt idx="1">
                  <c:v>1</c:v>
                </c:pt>
                <c:pt idx="2">
                  <c:v>2</c:v>
                </c:pt>
                <c:pt idx="3">
                  <c:v>3.0000000000000004</c:v>
                </c:pt>
                <c:pt idx="4">
                  <c:v>4</c:v>
                </c:pt>
                <c:pt idx="5">
                  <c:v>5</c:v>
                </c:pt>
                <c:pt idx="6">
                  <c:v>6</c:v>
                </c:pt>
                <c:pt idx="7">
                  <c:v>7</c:v>
                </c:pt>
                <c:pt idx="8">
                  <c:v>7.9999999999999991</c:v>
                </c:pt>
                <c:pt idx="9">
                  <c:v>9</c:v>
                </c:pt>
                <c:pt idx="10">
                  <c:v>9.9999999999999982</c:v>
                </c:pt>
                <c:pt idx="11">
                  <c:v>10.999999999999998</c:v>
                </c:pt>
                <c:pt idx="12">
                  <c:v>12</c:v>
                </c:pt>
                <c:pt idx="13">
                  <c:v>13</c:v>
                </c:pt>
                <c:pt idx="14">
                  <c:v>14.000000000000002</c:v>
                </c:pt>
                <c:pt idx="15">
                  <c:v>15.000000000000002</c:v>
                </c:pt>
                <c:pt idx="16">
                  <c:v>16.000000000000004</c:v>
                </c:pt>
                <c:pt idx="17">
                  <c:v>17.000000000000004</c:v>
                </c:pt>
                <c:pt idx="18">
                  <c:v>18.000000000000004</c:v>
                </c:pt>
                <c:pt idx="19">
                  <c:v>19.000000000000007</c:v>
                </c:pt>
                <c:pt idx="20">
                  <c:v>20.000000000000004</c:v>
                </c:pt>
                <c:pt idx="21">
                  <c:v>21.000000000000007</c:v>
                </c:pt>
                <c:pt idx="22">
                  <c:v>22.000000000000007</c:v>
                </c:pt>
                <c:pt idx="23">
                  <c:v>23.000000000000007</c:v>
                </c:pt>
                <c:pt idx="24">
                  <c:v>24.000000000000007</c:v>
                </c:pt>
                <c:pt idx="25">
                  <c:v>25.000000000000007</c:v>
                </c:pt>
              </c:numCache>
            </c:numRef>
          </c:xVal>
          <c:yVal>
            <c:numRef>
              <c:f>acce!$C$5:$C$30</c:f>
              <c:numCache>
                <c:formatCode>0.0</c:formatCode>
                <c:ptCount val="26"/>
                <c:pt idx="0" formatCode="General">
                  <c:v>40</c:v>
                </c:pt>
                <c:pt idx="1">
                  <c:v>38.46153846153846</c:v>
                </c:pt>
                <c:pt idx="2">
                  <c:v>37.037037037037038</c:v>
                </c:pt>
                <c:pt idx="3">
                  <c:v>35.714285714285708</c:v>
                </c:pt>
                <c:pt idx="4">
                  <c:v>34.482758620689651</c:v>
                </c:pt>
                <c:pt idx="5">
                  <c:v>33.333333333333336</c:v>
                </c:pt>
                <c:pt idx="6">
                  <c:v>32.258064516129032</c:v>
                </c:pt>
                <c:pt idx="7">
                  <c:v>31.25</c:v>
                </c:pt>
                <c:pt idx="8">
                  <c:v>30.303030303030301</c:v>
                </c:pt>
                <c:pt idx="9">
                  <c:v>29.411764705882355</c:v>
                </c:pt>
                <c:pt idx="10">
                  <c:v>28.571428571428573</c:v>
                </c:pt>
                <c:pt idx="11">
                  <c:v>27.777777777777779</c:v>
                </c:pt>
                <c:pt idx="12">
                  <c:v>27.027027027027028</c:v>
                </c:pt>
                <c:pt idx="13">
                  <c:v>26.315789473684209</c:v>
                </c:pt>
                <c:pt idx="14">
                  <c:v>25.641025641025639</c:v>
                </c:pt>
                <c:pt idx="15">
                  <c:v>25</c:v>
                </c:pt>
                <c:pt idx="16">
                  <c:v>24.390243902439021</c:v>
                </c:pt>
                <c:pt idx="17">
                  <c:v>23.809523809523807</c:v>
                </c:pt>
                <c:pt idx="18">
                  <c:v>23.255813953488371</c:v>
                </c:pt>
                <c:pt idx="19">
                  <c:v>22.727272727272723</c:v>
                </c:pt>
                <c:pt idx="20">
                  <c:v>22.222222222222218</c:v>
                </c:pt>
                <c:pt idx="21">
                  <c:v>21.739130434782606</c:v>
                </c:pt>
                <c:pt idx="22">
                  <c:v>21.276595744680847</c:v>
                </c:pt>
                <c:pt idx="23">
                  <c:v>20.833333333333329</c:v>
                </c:pt>
                <c:pt idx="24">
                  <c:v>20.408163265306118</c:v>
                </c:pt>
                <c:pt idx="25" formatCode="General">
                  <c:v>19.999999999999996</c:v>
                </c:pt>
              </c:numCache>
            </c:numRef>
          </c:yVal>
          <c:smooth val="1"/>
        </c:ser>
        <c:ser>
          <c:idx val="1"/>
          <c:order val="1"/>
          <c:tx>
            <c:strRef>
              <c:f>acce!$F$4:$F$4</c:f>
              <c:strCache>
                <c:ptCount val="1"/>
                <c:pt idx="0">
                  <c:v>ISF_new</c:v>
                </c:pt>
              </c:strCache>
            </c:strRef>
          </c:tx>
          <c:spPr>
            <a:ln w="31680">
              <a:solidFill>
                <a:srgbClr val="FF420E"/>
              </a:solidFill>
            </a:ln>
          </c:spPr>
          <c:marker>
            <c:symbol val="none"/>
          </c:marker>
          <c:xVal>
            <c:numRef>
              <c:f>acce!$I$5:$I$30</c:f>
              <c:numCache>
                <c:formatCode>General</c:formatCode>
                <c:ptCount val="26"/>
                <c:pt idx="0">
                  <c:v>0</c:v>
                </c:pt>
                <c:pt idx="1">
                  <c:v>1</c:v>
                </c:pt>
                <c:pt idx="2">
                  <c:v>2</c:v>
                </c:pt>
                <c:pt idx="3">
                  <c:v>3.0000000000000004</c:v>
                </c:pt>
                <c:pt idx="4">
                  <c:v>4</c:v>
                </c:pt>
                <c:pt idx="5">
                  <c:v>5</c:v>
                </c:pt>
                <c:pt idx="6">
                  <c:v>6</c:v>
                </c:pt>
                <c:pt idx="7">
                  <c:v>7</c:v>
                </c:pt>
                <c:pt idx="8">
                  <c:v>7.9999999999999991</c:v>
                </c:pt>
                <c:pt idx="9">
                  <c:v>9</c:v>
                </c:pt>
                <c:pt idx="10">
                  <c:v>9.9999999999999982</c:v>
                </c:pt>
                <c:pt idx="11">
                  <c:v>10.999999999999998</c:v>
                </c:pt>
                <c:pt idx="12">
                  <c:v>12</c:v>
                </c:pt>
                <c:pt idx="13">
                  <c:v>13</c:v>
                </c:pt>
                <c:pt idx="14">
                  <c:v>14.000000000000002</c:v>
                </c:pt>
                <c:pt idx="15">
                  <c:v>15.000000000000002</c:v>
                </c:pt>
                <c:pt idx="16">
                  <c:v>16.000000000000004</c:v>
                </c:pt>
                <c:pt idx="17">
                  <c:v>17.000000000000004</c:v>
                </c:pt>
                <c:pt idx="18">
                  <c:v>18.000000000000004</c:v>
                </c:pt>
                <c:pt idx="19">
                  <c:v>19.000000000000007</c:v>
                </c:pt>
                <c:pt idx="20">
                  <c:v>20.000000000000004</c:v>
                </c:pt>
                <c:pt idx="21">
                  <c:v>21.000000000000007</c:v>
                </c:pt>
                <c:pt idx="22">
                  <c:v>22.000000000000007</c:v>
                </c:pt>
                <c:pt idx="23">
                  <c:v>23.000000000000007</c:v>
                </c:pt>
                <c:pt idx="24">
                  <c:v>24.000000000000007</c:v>
                </c:pt>
                <c:pt idx="25">
                  <c:v>25.000000000000007</c:v>
                </c:pt>
              </c:numCache>
            </c:numRef>
          </c:xVal>
          <c:yVal>
            <c:numRef>
              <c:f>acce!$F$5:$F$30</c:f>
              <c:numCache>
                <c:formatCode>0.0</c:formatCode>
                <c:ptCount val="26"/>
                <c:pt idx="0" formatCode="General">
                  <c:v>40</c:v>
                </c:pt>
                <c:pt idx="1">
                  <c:v>39.215686274509807</c:v>
                </c:pt>
                <c:pt idx="2">
                  <c:v>38.46153846153846</c:v>
                </c:pt>
                <c:pt idx="3">
                  <c:v>37.735849056603769</c:v>
                </c:pt>
                <c:pt idx="4">
                  <c:v>37.037037037037038</c:v>
                </c:pt>
                <c:pt idx="5">
                  <c:v>36.36363636363636</c:v>
                </c:pt>
                <c:pt idx="6">
                  <c:v>35.714285714285708</c:v>
                </c:pt>
                <c:pt idx="7">
                  <c:v>35.087719298245617</c:v>
                </c:pt>
                <c:pt idx="8">
                  <c:v>34.482758620689658</c:v>
                </c:pt>
                <c:pt idx="9">
                  <c:v>33.898305084745765</c:v>
                </c:pt>
                <c:pt idx="10">
                  <c:v>33.333333333333336</c:v>
                </c:pt>
                <c:pt idx="11">
                  <c:v>32.786885245901637</c:v>
                </c:pt>
                <c:pt idx="12">
                  <c:v>32.258064516129032</c:v>
                </c:pt>
                <c:pt idx="13">
                  <c:v>31.746031746031747</c:v>
                </c:pt>
                <c:pt idx="14">
                  <c:v>31.25</c:v>
                </c:pt>
                <c:pt idx="15">
                  <c:v>30.769230769230766</c:v>
                </c:pt>
                <c:pt idx="16">
                  <c:v>30.303030303030301</c:v>
                </c:pt>
                <c:pt idx="17">
                  <c:v>29.850746268656714</c:v>
                </c:pt>
                <c:pt idx="18">
                  <c:v>29.411764705882351</c:v>
                </c:pt>
                <c:pt idx="19">
                  <c:v>28.985507246376809</c:v>
                </c:pt>
                <c:pt idx="20">
                  <c:v>28.571428571428569</c:v>
                </c:pt>
                <c:pt idx="21">
                  <c:v>28.16901408450704</c:v>
                </c:pt>
                <c:pt idx="22">
                  <c:v>27.777777777777775</c:v>
                </c:pt>
                <c:pt idx="23">
                  <c:v>27.397260273972599</c:v>
                </c:pt>
                <c:pt idx="24">
                  <c:v>27.027027027027025</c:v>
                </c:pt>
                <c:pt idx="25">
                  <c:v>26.666666666666664</c:v>
                </c:pt>
              </c:numCache>
            </c:numRef>
          </c:yVal>
          <c:smooth val="1"/>
        </c:ser>
        <c:dLbls>
          <c:showLegendKey val="0"/>
          <c:showVal val="0"/>
          <c:showCatName val="0"/>
          <c:showSerName val="0"/>
          <c:showPercent val="0"/>
          <c:showBubbleSize val="0"/>
        </c:dLbls>
        <c:axId val="1285227776"/>
        <c:axId val="1285229408"/>
      </c:scatterChart>
      <c:scatterChart>
        <c:scatterStyle val="smoothMarker"/>
        <c:varyColors val="0"/>
        <c:ser>
          <c:idx val="2"/>
          <c:order val="2"/>
          <c:tx>
            <c:strRef>
              <c:f>acce!$D$4:$D$4</c:f>
              <c:strCache>
                <c:ptCount val="1"/>
                <c:pt idx="0">
                  <c:v>InsReq_old</c:v>
                </c:pt>
              </c:strCache>
            </c:strRef>
          </c:tx>
          <c:spPr>
            <a:ln w="31680">
              <a:solidFill>
                <a:srgbClr val="FFD320"/>
              </a:solidFill>
            </a:ln>
          </c:spPr>
          <c:marker>
            <c:symbol val="none"/>
          </c:marker>
          <c:yVal>
            <c:numRef>
              <c:f>acce!$D$5:$D$30</c:f>
              <c:numCache>
                <c:formatCode>General</c:formatCode>
                <c:ptCount val="26"/>
                <c:pt idx="0">
                  <c:v>1</c:v>
                </c:pt>
                <c:pt idx="1">
                  <c:v>1.04</c:v>
                </c:pt>
                <c:pt idx="2">
                  <c:v>1.08</c:v>
                </c:pt>
                <c:pt idx="3">
                  <c:v>1.1200000000000001</c:v>
                </c:pt>
                <c:pt idx="4">
                  <c:v>1.1600000000000001</c:v>
                </c:pt>
                <c:pt idx="5">
                  <c:v>1.2</c:v>
                </c:pt>
                <c:pt idx="6">
                  <c:v>1.24</c:v>
                </c:pt>
                <c:pt idx="7">
                  <c:v>1.28</c:v>
                </c:pt>
                <c:pt idx="8">
                  <c:v>1.32</c:v>
                </c:pt>
                <c:pt idx="9">
                  <c:v>1.3599999999999999</c:v>
                </c:pt>
                <c:pt idx="10">
                  <c:v>1.4</c:v>
                </c:pt>
                <c:pt idx="11">
                  <c:v>1.44</c:v>
                </c:pt>
                <c:pt idx="12">
                  <c:v>1.48</c:v>
                </c:pt>
                <c:pt idx="13">
                  <c:v>1.52</c:v>
                </c:pt>
                <c:pt idx="14">
                  <c:v>1.56</c:v>
                </c:pt>
                <c:pt idx="15">
                  <c:v>1.6</c:v>
                </c:pt>
                <c:pt idx="16">
                  <c:v>1.6400000000000001</c:v>
                </c:pt>
                <c:pt idx="17">
                  <c:v>1.6800000000000002</c:v>
                </c:pt>
                <c:pt idx="18">
                  <c:v>1.7200000000000002</c:v>
                </c:pt>
                <c:pt idx="19">
                  <c:v>1.7600000000000002</c:v>
                </c:pt>
                <c:pt idx="20">
                  <c:v>1.8000000000000003</c:v>
                </c:pt>
                <c:pt idx="21">
                  <c:v>1.8400000000000003</c:v>
                </c:pt>
                <c:pt idx="22">
                  <c:v>1.8800000000000003</c:v>
                </c:pt>
                <c:pt idx="23">
                  <c:v>1.9200000000000004</c:v>
                </c:pt>
                <c:pt idx="24">
                  <c:v>1.9600000000000004</c:v>
                </c:pt>
                <c:pt idx="25">
                  <c:v>2.0000000000000004</c:v>
                </c:pt>
              </c:numCache>
            </c:numRef>
          </c:yVal>
          <c:smooth val="1"/>
        </c:ser>
        <c:ser>
          <c:idx val="3"/>
          <c:order val="3"/>
          <c:tx>
            <c:strRef>
              <c:f>acce!$G$4:$G$4</c:f>
              <c:strCache>
                <c:ptCount val="1"/>
                <c:pt idx="0">
                  <c:v>InsReq_new</c:v>
                </c:pt>
              </c:strCache>
            </c:strRef>
          </c:tx>
          <c:spPr>
            <a:ln w="31680">
              <a:solidFill>
                <a:srgbClr val="579D1C"/>
              </a:solidFill>
            </a:ln>
          </c:spPr>
          <c:marker>
            <c:symbol val="none"/>
          </c:marker>
          <c:yVal>
            <c:numRef>
              <c:f>acce!$G$5:$G$30</c:f>
              <c:numCache>
                <c:formatCode>General</c:formatCode>
                <c:ptCount val="26"/>
                <c:pt idx="0">
                  <c:v>1</c:v>
                </c:pt>
                <c:pt idx="1">
                  <c:v>1.02</c:v>
                </c:pt>
                <c:pt idx="2">
                  <c:v>1.04</c:v>
                </c:pt>
                <c:pt idx="3">
                  <c:v>1.06</c:v>
                </c:pt>
                <c:pt idx="4">
                  <c:v>1.08</c:v>
                </c:pt>
                <c:pt idx="5">
                  <c:v>1.1000000000000001</c:v>
                </c:pt>
                <c:pt idx="6">
                  <c:v>1.1200000000000001</c:v>
                </c:pt>
                <c:pt idx="7">
                  <c:v>1.1399999999999999</c:v>
                </c:pt>
                <c:pt idx="8">
                  <c:v>1.1599999999999999</c:v>
                </c:pt>
                <c:pt idx="9">
                  <c:v>1.18</c:v>
                </c:pt>
                <c:pt idx="10">
                  <c:v>1.2</c:v>
                </c:pt>
                <c:pt idx="11">
                  <c:v>1.2200000000000002</c:v>
                </c:pt>
                <c:pt idx="12">
                  <c:v>1.24</c:v>
                </c:pt>
                <c:pt idx="13">
                  <c:v>1.26</c:v>
                </c:pt>
                <c:pt idx="14">
                  <c:v>1.28</c:v>
                </c:pt>
                <c:pt idx="15">
                  <c:v>1.3</c:v>
                </c:pt>
                <c:pt idx="16">
                  <c:v>1.32</c:v>
                </c:pt>
                <c:pt idx="17">
                  <c:v>1.34</c:v>
                </c:pt>
                <c:pt idx="18">
                  <c:v>1.36</c:v>
                </c:pt>
                <c:pt idx="19">
                  <c:v>1.3800000000000001</c:v>
                </c:pt>
                <c:pt idx="20">
                  <c:v>1.4000000000000001</c:v>
                </c:pt>
                <c:pt idx="21">
                  <c:v>1.4200000000000002</c:v>
                </c:pt>
                <c:pt idx="22">
                  <c:v>1.4400000000000002</c:v>
                </c:pt>
                <c:pt idx="23">
                  <c:v>1.4600000000000002</c:v>
                </c:pt>
                <c:pt idx="24">
                  <c:v>1.4800000000000002</c:v>
                </c:pt>
                <c:pt idx="25">
                  <c:v>1.5000000000000002</c:v>
                </c:pt>
              </c:numCache>
            </c:numRef>
          </c:yVal>
          <c:smooth val="1"/>
        </c:ser>
        <c:dLbls>
          <c:showLegendKey val="0"/>
          <c:showVal val="0"/>
          <c:showCatName val="0"/>
          <c:showSerName val="0"/>
          <c:showPercent val="0"/>
          <c:showBubbleSize val="0"/>
        </c:dLbls>
        <c:axId val="1285227232"/>
        <c:axId val="1285238656"/>
      </c:scatterChart>
      <c:valAx>
        <c:axId val="1285229408"/>
        <c:scaling>
          <c:orientation val="minMax"/>
        </c:scaling>
        <c:delete val="0"/>
        <c:axPos val="l"/>
        <c:majorGridlines>
          <c:spPr>
            <a:ln>
              <a:solidFill>
                <a:srgbClr val="B3B3B3"/>
              </a:solidFill>
            </a:ln>
          </c:spPr>
        </c:majorGridlines>
        <c:numFmt formatCode="General" sourceLinked="1"/>
        <c:majorTickMark val="none"/>
        <c:minorTickMark val="none"/>
        <c:tickLblPos val="nextTo"/>
        <c:spPr>
          <a:ln>
            <a:solidFill>
              <a:srgbClr val="B3B3B3"/>
            </a:solidFill>
          </a:ln>
        </c:spPr>
        <c:txPr>
          <a:bodyPr/>
          <a:lstStyle/>
          <a:p>
            <a:pPr>
              <a:defRPr sz="800" b="0"/>
            </a:pPr>
            <a:endParaRPr lang="de-DE"/>
          </a:p>
        </c:txPr>
        <c:crossAx val="1285227776"/>
        <c:crossesAt val="0"/>
        <c:crossBetween val="midCat"/>
      </c:valAx>
      <c:valAx>
        <c:axId val="1285227776"/>
        <c:scaling>
          <c:orientation val="minMax"/>
        </c:scaling>
        <c:delete val="0"/>
        <c:axPos val="b"/>
        <c:title>
          <c:tx>
            <c:rich>
              <a:bodyPr/>
              <a:lstStyle/>
              <a:p>
                <a:pPr>
                  <a:defRPr/>
                </a:pPr>
                <a:r>
                  <a:rPr lang="de-DE" sz="1200" b="0">
                    <a:solidFill>
                      <a:sysClr val="windowText" lastClr="000000"/>
                    </a:solidFill>
                  </a:rPr>
                  <a:t>5*</a:t>
                </a:r>
                <a:r>
                  <a:rPr lang="de-DE" sz="1200">
                    <a:solidFill>
                      <a:srgbClr val="FF0000"/>
                    </a:solidFill>
                  </a:rPr>
                  <a:t> iF </a:t>
                </a:r>
                <a:r>
                  <a:rPr lang="de-DE" sz="1200"/>
                  <a:t>~ acceleration</a:t>
                </a:r>
              </a:p>
            </c:rich>
          </c:tx>
          <c:layout/>
          <c:overlay val="0"/>
        </c:title>
        <c:numFmt formatCode="General" sourceLinked="1"/>
        <c:majorTickMark val="none"/>
        <c:minorTickMark val="none"/>
        <c:tickLblPos val="nextTo"/>
        <c:spPr>
          <a:ln>
            <a:solidFill>
              <a:srgbClr val="B3B3B3">
                <a:alpha val="99000"/>
              </a:srgbClr>
            </a:solidFill>
          </a:ln>
        </c:spPr>
        <c:txPr>
          <a:bodyPr/>
          <a:lstStyle/>
          <a:p>
            <a:pPr>
              <a:defRPr sz="800" b="0">
                <a:solidFill>
                  <a:srgbClr val="FF0000"/>
                </a:solidFill>
              </a:defRPr>
            </a:pPr>
            <a:endParaRPr lang="de-DE"/>
          </a:p>
        </c:txPr>
        <c:crossAx val="1285229408"/>
        <c:crossesAt val="0"/>
        <c:crossBetween val="midCat"/>
      </c:valAx>
      <c:valAx>
        <c:axId val="1285238656"/>
        <c:scaling>
          <c:orientation val="minMax"/>
        </c:scaling>
        <c:delete val="0"/>
        <c:axPos val="r"/>
        <c:numFmt formatCode="General" sourceLinked="1"/>
        <c:majorTickMark val="none"/>
        <c:minorTickMark val="none"/>
        <c:tickLblPos val="nextTo"/>
        <c:spPr>
          <a:ln>
            <a:solidFill>
              <a:srgbClr val="B3B3B3"/>
            </a:solidFill>
          </a:ln>
        </c:spPr>
        <c:txPr>
          <a:bodyPr/>
          <a:lstStyle/>
          <a:p>
            <a:pPr>
              <a:defRPr sz="800" b="0"/>
            </a:pPr>
            <a:endParaRPr lang="de-DE"/>
          </a:p>
        </c:txPr>
        <c:crossAx val="1285227232"/>
        <c:crosses val="max"/>
        <c:crossBetween val="midCat"/>
      </c:valAx>
      <c:valAx>
        <c:axId val="1285227232"/>
        <c:scaling>
          <c:orientation val="minMax"/>
        </c:scaling>
        <c:delete val="1"/>
        <c:axPos val="b"/>
        <c:numFmt formatCode="General" sourceLinked="1"/>
        <c:majorTickMark val="none"/>
        <c:minorTickMark val="none"/>
        <c:tickLblPos val="nextTo"/>
        <c:crossAx val="1285238656"/>
        <c:crossesAt val="0"/>
        <c:crossBetween val="midCat"/>
      </c:valAx>
      <c:spPr>
        <a:noFill/>
        <a:ln>
          <a:solidFill>
            <a:srgbClr val="B3B3B3"/>
          </a:solidFill>
          <a:prstDash val="solid"/>
        </a:ln>
      </c:spPr>
    </c:plotArea>
    <c:legend>
      <c:legendPos val="r"/>
      <c:layout>
        <c:manualLayout>
          <c:xMode val="edge"/>
          <c:yMode val="edge"/>
          <c:x val="0.22792512023309908"/>
          <c:y val="1.6270418198922432E-2"/>
          <c:w val="0.54079689090863936"/>
          <c:h val="0.11968224103689766"/>
        </c:manualLayout>
      </c:layout>
      <c:overlay val="0"/>
      <c:spPr>
        <a:solidFill>
          <a:srgbClr val="E6E6E6"/>
        </a:solidFill>
        <a:ln>
          <a:noFill/>
        </a:ln>
      </c:spPr>
      <c:txPr>
        <a:bodyPr/>
        <a:lstStyle/>
        <a:p>
          <a:pPr>
            <a:defRPr sz="1200" b="0" baseline="0"/>
          </a:pPr>
          <a:endParaRPr lang="de-DE"/>
        </a:p>
      </c:txPr>
    </c:legend>
    <c:plotVisOnly val="1"/>
    <c:dispBlanksAs val="gap"/>
    <c:showDLblsOverMax val="0"/>
  </c:chart>
  <c:spPr>
    <a:ln>
      <a:noFill/>
    </a:ln>
  </c:spPr>
  <c:printSettings>
    <c:headerFooter/>
    <c:pageMargins b="0.78740157499999996" l="0.7" r="0.7" t="0.78740157499999996"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5843316057109326E-2"/>
          <c:y val="3.4655349354314545E-2"/>
          <c:w val="0.84122803800769286"/>
          <c:h val="0.8761067875367029"/>
        </c:manualLayout>
      </c:layout>
      <c:lineChart>
        <c:grouping val="standard"/>
        <c:varyColors val="0"/>
        <c:ser>
          <c:idx val="0"/>
          <c:order val="0"/>
          <c:tx>
            <c:strRef>
              <c:f>pp!$C$4</c:f>
              <c:strCache>
                <c:ptCount val="1"/>
                <c:pt idx="0">
                  <c:v>ISF_old</c:v>
                </c:pt>
              </c:strCache>
            </c:strRef>
          </c:tx>
          <c:spPr>
            <a:ln w="31680">
              <a:solidFill>
                <a:srgbClr val="004586"/>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pp!$C$5:$C$20</c:f>
              <c:numCache>
                <c:formatCode>0.0</c:formatCode>
                <c:ptCount val="16"/>
                <c:pt idx="0" formatCode="General">
                  <c:v>40</c:v>
                </c:pt>
                <c:pt idx="1">
                  <c:v>38.46153846153846</c:v>
                </c:pt>
                <c:pt idx="2">
                  <c:v>37.037037037037038</c:v>
                </c:pt>
                <c:pt idx="3">
                  <c:v>35.714285714285708</c:v>
                </c:pt>
                <c:pt idx="4">
                  <c:v>34.482758620689658</c:v>
                </c:pt>
                <c:pt idx="5">
                  <c:v>33.333333333333336</c:v>
                </c:pt>
                <c:pt idx="6">
                  <c:v>32.258064516129032</c:v>
                </c:pt>
                <c:pt idx="7">
                  <c:v>31.25</c:v>
                </c:pt>
                <c:pt idx="8">
                  <c:v>30.303030303030301</c:v>
                </c:pt>
                <c:pt idx="9">
                  <c:v>29.411764705882355</c:v>
                </c:pt>
                <c:pt idx="10">
                  <c:v>28.571428571428573</c:v>
                </c:pt>
                <c:pt idx="11">
                  <c:v>27.777777777777779</c:v>
                </c:pt>
                <c:pt idx="12">
                  <c:v>27.027027027027028</c:v>
                </c:pt>
                <c:pt idx="13">
                  <c:v>26.315789473684209</c:v>
                </c:pt>
                <c:pt idx="14">
                  <c:v>25.641025641025639</c:v>
                </c:pt>
                <c:pt idx="15">
                  <c:v>25</c:v>
                </c:pt>
              </c:numCache>
            </c:numRef>
          </c:val>
          <c:smooth val="0"/>
        </c:ser>
        <c:ser>
          <c:idx val="1"/>
          <c:order val="1"/>
          <c:tx>
            <c:strRef>
              <c:f>pp!$F$4</c:f>
              <c:strCache>
                <c:ptCount val="1"/>
                <c:pt idx="0">
                  <c:v>ISF_new</c:v>
                </c:pt>
              </c:strCache>
            </c:strRef>
          </c:tx>
          <c:spPr>
            <a:ln w="31680">
              <a:solidFill>
                <a:srgbClr val="FF420E"/>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pp!$F$5:$F$20</c:f>
              <c:numCache>
                <c:formatCode>0.0</c:formatCode>
                <c:ptCount val="16"/>
                <c:pt idx="0" formatCode="General">
                  <c:v>40</c:v>
                </c:pt>
                <c:pt idx="1">
                  <c:v>37.735849056603769</c:v>
                </c:pt>
                <c:pt idx="2">
                  <c:v>35.714285714285708</c:v>
                </c:pt>
                <c:pt idx="3">
                  <c:v>33.898305084745765</c:v>
                </c:pt>
                <c:pt idx="4">
                  <c:v>32.258064516129032</c:v>
                </c:pt>
                <c:pt idx="5">
                  <c:v>30.769230769230766</c:v>
                </c:pt>
                <c:pt idx="6">
                  <c:v>29.411764705882355</c:v>
                </c:pt>
                <c:pt idx="7">
                  <c:v>28.169014084507044</c:v>
                </c:pt>
                <c:pt idx="8">
                  <c:v>27.027027027027028</c:v>
                </c:pt>
                <c:pt idx="9">
                  <c:v>25.974025974025974</c:v>
                </c:pt>
                <c:pt idx="10">
                  <c:v>25</c:v>
                </c:pt>
                <c:pt idx="11">
                  <c:v>24.096385542168676</c:v>
                </c:pt>
                <c:pt idx="12">
                  <c:v>23.255813953488371</c:v>
                </c:pt>
                <c:pt idx="13">
                  <c:v>22.471910112359549</c:v>
                </c:pt>
                <c:pt idx="14">
                  <c:v>21.739130434782609</c:v>
                </c:pt>
                <c:pt idx="15">
                  <c:v>21.05263157894737</c:v>
                </c:pt>
              </c:numCache>
            </c:numRef>
          </c:val>
          <c:smooth val="0"/>
        </c:ser>
        <c:dLbls>
          <c:showLegendKey val="0"/>
          <c:showVal val="0"/>
          <c:showCatName val="0"/>
          <c:showSerName val="0"/>
          <c:showPercent val="0"/>
          <c:showBubbleSize val="0"/>
        </c:dLbls>
        <c:marker val="1"/>
        <c:smooth val="0"/>
        <c:axId val="1285235936"/>
        <c:axId val="1285231040"/>
      </c:lineChart>
      <c:lineChart>
        <c:grouping val="standard"/>
        <c:varyColors val="0"/>
        <c:ser>
          <c:idx val="3"/>
          <c:order val="2"/>
          <c:tx>
            <c:strRef>
              <c:f>pp!$D$4</c:f>
              <c:strCache>
                <c:ptCount val="1"/>
                <c:pt idx="0">
                  <c:v>InsReq_old</c:v>
                </c:pt>
              </c:strCache>
            </c:strRef>
          </c:tx>
          <c:spPr>
            <a:ln w="31680">
              <a:solidFill>
                <a:srgbClr val="579D1C"/>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pp!$D$5:$D$20</c:f>
              <c:numCache>
                <c:formatCode>General</c:formatCode>
                <c:ptCount val="16"/>
                <c:pt idx="0">
                  <c:v>1</c:v>
                </c:pt>
                <c:pt idx="1">
                  <c:v>1.04</c:v>
                </c:pt>
                <c:pt idx="2">
                  <c:v>1.08</c:v>
                </c:pt>
                <c:pt idx="3">
                  <c:v>1.1200000000000001</c:v>
                </c:pt>
                <c:pt idx="4">
                  <c:v>1.1599999999999999</c:v>
                </c:pt>
                <c:pt idx="5">
                  <c:v>1.2</c:v>
                </c:pt>
                <c:pt idx="6">
                  <c:v>1.24</c:v>
                </c:pt>
                <c:pt idx="7">
                  <c:v>1.28</c:v>
                </c:pt>
                <c:pt idx="8">
                  <c:v>1.32</c:v>
                </c:pt>
                <c:pt idx="9">
                  <c:v>1.3599999999999999</c:v>
                </c:pt>
                <c:pt idx="10">
                  <c:v>1.4</c:v>
                </c:pt>
                <c:pt idx="11">
                  <c:v>1.44</c:v>
                </c:pt>
                <c:pt idx="12">
                  <c:v>1.48</c:v>
                </c:pt>
                <c:pt idx="13">
                  <c:v>1.52</c:v>
                </c:pt>
                <c:pt idx="14">
                  <c:v>1.56</c:v>
                </c:pt>
                <c:pt idx="15">
                  <c:v>1.6</c:v>
                </c:pt>
              </c:numCache>
            </c:numRef>
          </c:val>
          <c:smooth val="0"/>
        </c:ser>
        <c:ser>
          <c:idx val="2"/>
          <c:order val="3"/>
          <c:tx>
            <c:strRef>
              <c:f>pp!$G$4</c:f>
              <c:strCache>
                <c:ptCount val="1"/>
                <c:pt idx="0">
                  <c:v>InsReq_new</c:v>
                </c:pt>
              </c:strCache>
            </c:strRef>
          </c:tx>
          <c:spPr>
            <a:ln w="31680">
              <a:solidFill>
                <a:srgbClr val="FFD320"/>
              </a:solidFill>
            </a:ln>
          </c:spPr>
          <c:marker>
            <c:symbol val="none"/>
          </c:marker>
          <c:cat>
            <c:numRef>
              <c:f>pp!$A$5:$A$20</c:f>
              <c:numCache>
                <c:formatCode>General</c:formatCode>
                <c:ptCount val="16"/>
                <c:pt idx="0">
                  <c:v>0</c:v>
                </c:pt>
                <c:pt idx="1">
                  <c:v>2</c:v>
                </c:pt>
                <c:pt idx="2">
                  <c:v>4</c:v>
                </c:pt>
                <c:pt idx="3">
                  <c:v>6</c:v>
                </c:pt>
                <c:pt idx="4">
                  <c:v>8</c:v>
                </c:pt>
                <c:pt idx="5">
                  <c:v>10</c:v>
                </c:pt>
                <c:pt idx="6">
                  <c:v>12</c:v>
                </c:pt>
                <c:pt idx="7">
                  <c:v>14</c:v>
                </c:pt>
                <c:pt idx="8">
                  <c:v>16</c:v>
                </c:pt>
                <c:pt idx="9">
                  <c:v>18</c:v>
                </c:pt>
                <c:pt idx="10">
                  <c:v>20</c:v>
                </c:pt>
                <c:pt idx="11">
                  <c:v>22</c:v>
                </c:pt>
                <c:pt idx="12">
                  <c:v>24</c:v>
                </c:pt>
                <c:pt idx="13">
                  <c:v>26</c:v>
                </c:pt>
                <c:pt idx="14">
                  <c:v>28</c:v>
                </c:pt>
                <c:pt idx="15">
                  <c:v>30</c:v>
                </c:pt>
              </c:numCache>
            </c:numRef>
          </c:cat>
          <c:val>
            <c:numRef>
              <c:f>pp!$G$5:$G$20</c:f>
              <c:numCache>
                <c:formatCode>General</c:formatCode>
                <c:ptCount val="16"/>
                <c:pt idx="0">
                  <c:v>1</c:v>
                </c:pt>
                <c:pt idx="1">
                  <c:v>1.06</c:v>
                </c:pt>
                <c:pt idx="2">
                  <c:v>1.1200000000000001</c:v>
                </c:pt>
                <c:pt idx="3">
                  <c:v>1.18</c:v>
                </c:pt>
                <c:pt idx="4">
                  <c:v>1.24</c:v>
                </c:pt>
                <c:pt idx="5">
                  <c:v>1.3</c:v>
                </c:pt>
                <c:pt idx="6">
                  <c:v>1.3599999999999999</c:v>
                </c:pt>
                <c:pt idx="7">
                  <c:v>1.42</c:v>
                </c:pt>
                <c:pt idx="8">
                  <c:v>1.48</c:v>
                </c:pt>
                <c:pt idx="9">
                  <c:v>1.54</c:v>
                </c:pt>
                <c:pt idx="10">
                  <c:v>1.6</c:v>
                </c:pt>
                <c:pt idx="11">
                  <c:v>1.66</c:v>
                </c:pt>
                <c:pt idx="12">
                  <c:v>1.7200000000000002</c:v>
                </c:pt>
                <c:pt idx="13">
                  <c:v>1.7800000000000002</c:v>
                </c:pt>
                <c:pt idx="14">
                  <c:v>1.8399999999999999</c:v>
                </c:pt>
                <c:pt idx="15">
                  <c:v>1.9</c:v>
                </c:pt>
              </c:numCache>
            </c:numRef>
          </c:val>
          <c:smooth val="0"/>
        </c:ser>
        <c:dLbls>
          <c:showLegendKey val="0"/>
          <c:showVal val="0"/>
          <c:showCatName val="0"/>
          <c:showSerName val="0"/>
          <c:showPercent val="0"/>
          <c:showBubbleSize val="0"/>
        </c:dLbls>
        <c:marker val="1"/>
        <c:smooth val="0"/>
        <c:axId val="1285237024"/>
        <c:axId val="1285236480"/>
      </c:lineChart>
      <c:valAx>
        <c:axId val="1285231040"/>
        <c:scaling>
          <c:orientation val="minMax"/>
        </c:scaling>
        <c:delete val="0"/>
        <c:axPos val="l"/>
        <c:majorGridlines>
          <c:spPr>
            <a:ln>
              <a:solidFill>
                <a:srgbClr val="B3B3B3"/>
              </a:solidFill>
            </a:ln>
          </c:spPr>
        </c:majorGridlines>
        <c:title>
          <c:tx>
            <c:rich>
              <a:bodyPr/>
              <a:lstStyle/>
              <a:p>
                <a:pPr>
                  <a:defRPr sz="900" b="0"/>
                </a:pPr>
                <a:r>
                  <a:rPr lang="de-DE"/>
                  <a:t>ISF</a:t>
                </a:r>
              </a:p>
            </c:rich>
          </c:tx>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1285235936"/>
        <c:crossesAt val="0"/>
        <c:crossBetween val="between"/>
      </c:valAx>
      <c:catAx>
        <c:axId val="1285235936"/>
        <c:scaling>
          <c:orientation val="minMax"/>
        </c:scaling>
        <c:delete val="0"/>
        <c:axPos val="b"/>
        <c:title>
          <c:tx>
            <c:rich>
              <a:bodyPr/>
              <a:lstStyle/>
              <a:p>
                <a:pPr>
                  <a:defRPr sz="900" b="0"/>
                </a:pPr>
                <a:r>
                  <a:rPr lang="de-DE" sz="1200">
                    <a:solidFill>
                      <a:srgbClr val="FF0000"/>
                    </a:solidFill>
                  </a:rPr>
                  <a:t>delta (mg/dl</a:t>
                </a:r>
                <a:r>
                  <a:rPr lang="de-DE">
                    <a:solidFill>
                      <a:srgbClr val="FF0000"/>
                    </a:solidFill>
                  </a:rPr>
                  <a:t>)</a:t>
                </a:r>
              </a:p>
            </c:rich>
          </c:tx>
          <c:overlay val="0"/>
          <c:spPr>
            <a:solidFill>
              <a:schemeClr val="bg1"/>
            </a:solidFill>
          </c:spPr>
        </c:title>
        <c:numFmt formatCode="General" sourceLinked="1"/>
        <c:majorTickMark val="none"/>
        <c:minorTickMark val="none"/>
        <c:tickLblPos val="nextTo"/>
        <c:spPr>
          <a:ln>
            <a:solidFill>
              <a:srgbClr val="FF0000"/>
            </a:solidFill>
          </a:ln>
        </c:spPr>
        <c:txPr>
          <a:bodyPr/>
          <a:lstStyle/>
          <a:p>
            <a:pPr>
              <a:defRPr sz="800" b="0"/>
            </a:pPr>
            <a:endParaRPr lang="de-DE"/>
          </a:p>
        </c:txPr>
        <c:crossAx val="1285231040"/>
        <c:crossesAt val="0"/>
        <c:auto val="1"/>
        <c:lblAlgn val="ctr"/>
        <c:lblOffset val="100"/>
        <c:noMultiLvlLbl val="1"/>
      </c:catAx>
      <c:valAx>
        <c:axId val="1285236480"/>
        <c:scaling>
          <c:orientation val="minMax"/>
        </c:scaling>
        <c:delete val="0"/>
        <c:axPos val="r"/>
        <c:title>
          <c:tx>
            <c:rich>
              <a:bodyPr/>
              <a:lstStyle/>
              <a:p>
                <a:pPr>
                  <a:defRPr sz="900" b="0"/>
                </a:pPr>
                <a:r>
                  <a:rPr lang="de-DE"/>
                  <a:t>Insulin Required</a:t>
                </a:r>
              </a:p>
            </c:rich>
          </c:tx>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1285237024"/>
        <c:crosses val="max"/>
        <c:crossBetween val="between"/>
      </c:valAx>
      <c:catAx>
        <c:axId val="1285237024"/>
        <c:scaling>
          <c:orientation val="minMax"/>
        </c:scaling>
        <c:delete val="1"/>
        <c:axPos val="b"/>
        <c:numFmt formatCode="General" sourceLinked="1"/>
        <c:majorTickMark val="none"/>
        <c:minorTickMark val="none"/>
        <c:tickLblPos val="nextTo"/>
        <c:crossAx val="1285236480"/>
        <c:crossesAt val="0"/>
        <c:auto val="1"/>
        <c:lblAlgn val="ctr"/>
        <c:lblOffset val="100"/>
        <c:noMultiLvlLbl val="1"/>
      </c:catAx>
      <c:spPr>
        <a:noFill/>
        <a:ln>
          <a:solidFill>
            <a:srgbClr val="B3B3B3"/>
          </a:solidFill>
          <a:prstDash val="solid"/>
        </a:ln>
      </c:spPr>
    </c:plotArea>
    <c:legend>
      <c:legendPos val="r"/>
      <c:layout>
        <c:manualLayout>
          <c:xMode val="edge"/>
          <c:yMode val="edge"/>
          <c:x val="0.12347977377925549"/>
          <c:y val="0.77655434875566576"/>
          <c:w val="0.65141999152487129"/>
          <c:h val="0.11364824158803465"/>
        </c:manualLayout>
      </c:layout>
      <c:overlay val="0"/>
      <c:spPr>
        <a:solidFill>
          <a:srgbClr val="E6E6E6"/>
        </a:solidFill>
        <a:ln>
          <a:noFill/>
        </a:ln>
      </c:spPr>
      <c:txPr>
        <a:bodyPr/>
        <a:lstStyle/>
        <a:p>
          <a:pPr>
            <a:defRPr sz="1200" b="0" baseline="0"/>
          </a:pPr>
          <a:endParaRPr lang="de-DE"/>
        </a:p>
      </c:txPr>
    </c:legend>
    <c:plotVisOnly val="1"/>
    <c:dispBlanksAs val="gap"/>
    <c:showDLblsOverMax val="0"/>
  </c:chart>
  <c:spPr>
    <a:ln>
      <a:noFill/>
    </a:ln>
  </c:spPr>
  <c:printSettings>
    <c:headerFooter/>
    <c:pageMargins b="0.78740157499999996" l="0.7" r="0.7" t="0.78740157499999996"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1055711842123865E-2"/>
          <c:y val="1.4453420595152878E-2"/>
          <c:w val="0.84122803800769286"/>
          <c:h val="0.8761067875367029"/>
        </c:manualLayout>
      </c:layout>
      <c:scatterChart>
        <c:scatterStyle val="smoothMarker"/>
        <c:varyColors val="0"/>
        <c:ser>
          <c:idx val="0"/>
          <c:order val="0"/>
          <c:tx>
            <c:strRef>
              <c:f>dura!$C$4</c:f>
              <c:strCache>
                <c:ptCount val="1"/>
                <c:pt idx="0">
                  <c:v>ISF_old</c:v>
                </c:pt>
              </c:strCache>
            </c:strRef>
          </c:tx>
          <c:spPr>
            <a:ln w="31680">
              <a:solidFill>
                <a:srgbClr val="004586"/>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dura!$C$5:$C$61</c:f>
              <c:numCache>
                <c:formatCode>0.0</c:formatCode>
                <c:ptCount val="57"/>
                <c:pt idx="0" formatCode="General">
                  <c:v>40</c:v>
                </c:pt>
                <c:pt idx="1">
                  <c:v>39.215763168163079</c:v>
                </c:pt>
                <c:pt idx="2">
                  <c:v>38.462352088217251</c:v>
                </c:pt>
                <c:pt idx="3">
                  <c:v>37.737344309868881</c:v>
                </c:pt>
                <c:pt idx="4">
                  <c:v>37.039163359378037</c:v>
                </c:pt>
                <c:pt idx="5">
                  <c:v>36.366347309526709</c:v>
                </c:pt>
                <c:pt idx="6">
                  <c:v>35.71753856154757</c:v>
                </c:pt>
                <c:pt idx="7">
                  <c:v>35.0914747016786</c:v>
                </c:pt>
                <c:pt idx="8">
                  <c:v>34.486980302761197</c:v>
                </c:pt>
                <c:pt idx="9">
                  <c:v>33.90295955885469</c:v>
                </c:pt>
                <c:pt idx="10">
                  <c:v>33.338389655764459</c:v>
                </c:pt>
                <c:pt idx="11">
                  <c:v>32.792314793105092</c:v>
                </c:pt>
                <c:pt idx="12">
                  <c:v>32.263840784398496</c:v>
                </c:pt>
                <c:pt idx="13">
                  <c:v>31.752130171032849</c:v>
                </c:pt>
                <c:pt idx="14">
                  <c:v>31.256397793923444</c:v>
                </c:pt>
                <c:pt idx="15">
                  <c:v>30.775906773623202</c:v>
                </c:pt>
                <c:pt idx="16">
                  <c:v>30.309964855595748</c:v>
                </c:pt>
                <c:pt idx="17">
                  <c:v>29.85792108252879</c:v>
                </c:pt>
                <c:pt idx="18">
                  <c:v>29.419162760047012</c:v>
                </c:pt>
                <c:pt idx="19">
                  <c:v>28.993112686081425</c:v>
                </c:pt>
                <c:pt idx="20">
                  <c:v>28.579226617548503</c:v>
                </c:pt>
                <c:pt idx="21">
                  <c:v>28.176990950959357</c:v>
                </c:pt>
                <c:pt idx="22">
                  <c:v>27.785920596174712</c:v>
                </c:pt>
                <c:pt idx="23">
                  <c:v>27.405557024797918</c:v>
                </c:pt>
                <c:pt idx="24">
                  <c:v>27.035466476697454</c:v>
                </c:pt>
                <c:pt idx="25">
                  <c:v>26.675238309910252</c:v>
                </c:pt>
                <c:pt idx="26">
                  <c:v>26.324483480728503</c:v>
                </c:pt>
                <c:pt idx="27">
                  <c:v>25.982833142142987</c:v>
                </c:pt>
                <c:pt idx="28">
                  <c:v>25.649937350028022</c:v>
                </c:pt>
                <c:pt idx="29">
                  <c:v>25.32546386752756</c:v>
                </c:pt>
                <c:pt idx="30">
                  <c:v>25.009097059055232</c:v>
                </c:pt>
                <c:pt idx="31">
                  <c:v>24.700536866168786</c:v>
                </c:pt>
                <c:pt idx="32">
                  <c:v>24.399497858334076</c:v>
                </c:pt>
                <c:pt idx="33">
                  <c:v>24.105708352266358</c:v>
                </c:pt>
                <c:pt idx="34">
                  <c:v>23.81890959413769</c:v>
                </c:pt>
                <c:pt idx="35">
                  <c:v>23.538854999476257</c:v>
                </c:pt>
                <c:pt idx="36">
                  <c:v>23.265309446064613</c:v>
                </c:pt>
                <c:pt idx="37">
                  <c:v>22.998048615574966</c:v>
                </c:pt>
                <c:pt idx="38">
                  <c:v>22.736858380067044</c:v>
                </c:pt>
                <c:pt idx="39">
                  <c:v>22.471910112359549</c:v>
                </c:pt>
                <c:pt idx="40">
                  <c:v>21.739130434782609</c:v>
                </c:pt>
                <c:pt idx="41">
                  <c:v>21.052631578947366</c:v>
                </c:pt>
                <c:pt idx="42">
                  <c:v>20.408163265306122</c:v>
                </c:pt>
                <c:pt idx="43">
                  <c:v>19.801980198019798</c:v>
                </c:pt>
                <c:pt idx="44">
                  <c:v>19.23076923076923</c:v>
                </c:pt>
                <c:pt idx="45">
                  <c:v>18.691588785046726</c:v>
                </c:pt>
                <c:pt idx="46">
                  <c:v>18.18181818181818</c:v>
                </c:pt>
                <c:pt idx="47">
                  <c:v>17.699115044247787</c:v>
                </c:pt>
                <c:pt idx="48">
                  <c:v>17.241379310344826</c:v>
                </c:pt>
                <c:pt idx="49">
                  <c:v>16.806722689075627</c:v>
                </c:pt>
                <c:pt idx="50">
                  <c:v>16.393442622950818</c:v>
                </c:pt>
                <c:pt idx="51">
                  <c:v>15.999999999999996</c:v>
                </c:pt>
                <c:pt idx="52">
                  <c:v>14.285714285714283</c:v>
                </c:pt>
                <c:pt idx="53">
                  <c:v>12.90322580645161</c:v>
                </c:pt>
                <c:pt idx="54">
                  <c:v>11.76470588235294</c:v>
                </c:pt>
                <c:pt idx="55">
                  <c:v>10.810810810810809</c:v>
                </c:pt>
                <c:pt idx="56">
                  <c:v>10</c:v>
                </c:pt>
              </c:numCache>
            </c:numRef>
          </c:yVal>
          <c:smooth val="1"/>
        </c:ser>
        <c:ser>
          <c:idx val="1"/>
          <c:order val="1"/>
          <c:tx>
            <c:strRef>
              <c:f>dura!$F$4</c:f>
              <c:strCache>
                <c:ptCount val="1"/>
                <c:pt idx="0">
                  <c:v>ISF_new</c:v>
                </c:pt>
              </c:strCache>
            </c:strRef>
          </c:tx>
          <c:spPr>
            <a:ln w="31680">
              <a:solidFill>
                <a:srgbClr val="FF420E"/>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dura!$F$5:$F$61</c:f>
              <c:numCache>
                <c:formatCode>0.0</c:formatCode>
                <c:ptCount val="57"/>
                <c:pt idx="0" formatCode="General">
                  <c:v>40</c:v>
                </c:pt>
                <c:pt idx="1">
                  <c:v>38.961140158805605</c:v>
                </c:pt>
                <c:pt idx="2">
                  <c:v>37.975741096587498</c:v>
                </c:pt>
                <c:pt idx="3">
                  <c:v>37.038957575577996</c:v>
                </c:pt>
                <c:pt idx="4">
                  <c:v>36.147278471403887</c:v>
                </c:pt>
                <c:pt idx="5">
                  <c:v>35.297522819848503</c:v>
                </c:pt>
                <c:pt idx="6">
                  <c:v>34.486801900912518</c:v>
                </c:pt>
                <c:pt idx="7">
                  <c:v>33.712486430724212</c:v>
                </c:pt>
                <c:pt idx="8">
                  <c:v>32.97217807613935</c:v>
                </c:pt>
                <c:pt idx="9">
                  <c:v>32.26368464184084</c:v>
                </c:pt>
                <c:pt idx="10">
                  <c:v>31.584998389165083</c:v>
                </c:pt>
                <c:pt idx="11">
                  <c:v>30.934277035011416</c:v>
                </c:pt>
                <c:pt idx="12">
                  <c:v>30.309827052126842</c:v>
                </c:pt>
                <c:pt idx="13">
                  <c:v>29.710088952006323</c:v>
                </c:pt>
                <c:pt idx="14">
                  <c:v>29.133624281127823</c:v>
                </c:pt>
                <c:pt idx="15">
                  <c:v>28.579104102244603</c:v>
                </c:pt>
                <c:pt idx="16">
                  <c:v>28.045298766567761</c:v>
                </c:pt>
                <c:pt idx="17">
                  <c:v>27.531068811153386</c:v>
                </c:pt>
                <c:pt idx="18">
                  <c:v>27.035356839674929</c:v>
                </c:pt>
                <c:pt idx="19">
                  <c:v>26.557180264828197</c:v>
                </c:pt>
                <c:pt idx="20">
                  <c:v>26.095624807544763</c:v>
                </c:pt>
                <c:pt idx="21">
                  <c:v>25.64983866251481</c:v>
                </c:pt>
                <c:pt idx="22">
                  <c:v>25.219027251680846</c:v>
                </c:pt>
                <c:pt idx="23">
                  <c:v>24.802448497715691</c:v>
                </c:pt>
                <c:pt idx="24">
                  <c:v>24.399408558336543</c:v>
                </c:pt>
                <c:pt idx="25">
                  <c:v>24.009257969873179</c:v>
                </c:pt>
                <c:pt idx="26">
                  <c:v>23.631388155002998</c:v>
                </c:pt>
                <c:pt idx="27">
                  <c:v>23.265228255154408</c:v>
                </c:pt>
                <c:pt idx="28">
                  <c:v>22.910242252901579</c:v>
                </c:pt>
                <c:pt idx="29">
                  <c:v>22.565926353842748</c:v>
                </c:pt>
                <c:pt idx="30">
                  <c:v>22.231806601068016</c:v>
                </c:pt>
                <c:pt idx="31">
                  <c:v>21.907436698461659</c:v>
                </c:pt>
                <c:pt idx="32">
                  <c:v>21.592396021816956</c:v>
                </c:pt>
                <c:pt idx="33">
                  <c:v>21.286287799125557</c:v>
                </c:pt>
                <c:pt idx="34">
                  <c:v>20.988737443487821</c:v>
                </c:pt>
                <c:pt idx="35">
                  <c:v>20.699391023916071</c:v>
                </c:pt>
                <c:pt idx="36">
                  <c:v>20.417913860904999</c:v>
                </c:pt>
                <c:pt idx="37">
                  <c:v>20.143989235052146</c:v>
                </c:pt>
                <c:pt idx="38">
                  <c:v>19.877317198252381</c:v>
                </c:pt>
                <c:pt idx="39">
                  <c:v>19.607843137254903</c:v>
                </c:pt>
                <c:pt idx="40">
                  <c:v>18.867924528301884</c:v>
                </c:pt>
                <c:pt idx="41">
                  <c:v>18.18181818181818</c:v>
                </c:pt>
                <c:pt idx="42">
                  <c:v>17.543859649122805</c:v>
                </c:pt>
                <c:pt idx="43">
                  <c:v>16.949152542372879</c:v>
                </c:pt>
                <c:pt idx="44">
                  <c:v>16.393442622950818</c:v>
                </c:pt>
                <c:pt idx="45">
                  <c:v>15.87301587301587</c:v>
                </c:pt>
                <c:pt idx="46">
                  <c:v>15.384615384615381</c:v>
                </c:pt>
                <c:pt idx="47">
                  <c:v>14.925373134328355</c:v>
                </c:pt>
                <c:pt idx="48">
                  <c:v>14.492753623188403</c:v>
                </c:pt>
                <c:pt idx="49">
                  <c:v>14.084507042253517</c:v>
                </c:pt>
                <c:pt idx="50">
                  <c:v>13.698630136986298</c:v>
                </c:pt>
                <c:pt idx="51">
                  <c:v>13.333333333333329</c:v>
                </c:pt>
                <c:pt idx="52">
                  <c:v>11.764705882352938</c:v>
                </c:pt>
                <c:pt idx="53">
                  <c:v>10.526315789473681</c:v>
                </c:pt>
                <c:pt idx="54">
                  <c:v>9.5238095238095219</c:v>
                </c:pt>
                <c:pt idx="55">
                  <c:v>8.6956521739130412</c:v>
                </c:pt>
                <c:pt idx="56">
                  <c:v>7.9999999999999982</c:v>
                </c:pt>
              </c:numCache>
            </c:numRef>
          </c:yVal>
          <c:smooth val="1"/>
        </c:ser>
        <c:dLbls>
          <c:showLegendKey val="0"/>
          <c:showVal val="0"/>
          <c:showCatName val="0"/>
          <c:showSerName val="0"/>
          <c:showPercent val="0"/>
          <c:showBubbleSize val="0"/>
        </c:dLbls>
        <c:axId val="1086081360"/>
        <c:axId val="1285239200"/>
      </c:scatterChart>
      <c:scatterChart>
        <c:scatterStyle val="smoothMarker"/>
        <c:varyColors val="0"/>
        <c:ser>
          <c:idx val="3"/>
          <c:order val="2"/>
          <c:tx>
            <c:strRef>
              <c:f>dura!$D$4</c:f>
              <c:strCache>
                <c:ptCount val="1"/>
                <c:pt idx="0">
                  <c:v>InsReq_old</c:v>
                </c:pt>
              </c:strCache>
            </c:strRef>
          </c:tx>
          <c:spPr>
            <a:ln w="31680">
              <a:solidFill>
                <a:srgbClr val="579D1C"/>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dura!$D$5:$D$61</c:f>
              <c:numCache>
                <c:formatCode>0.000</c:formatCode>
                <c:ptCount val="57"/>
                <c:pt idx="0" formatCode="General">
                  <c:v>1</c:v>
                </c:pt>
                <c:pt idx="1">
                  <c:v>1.019998</c:v>
                </c:pt>
                <c:pt idx="2">
                  <c:v>1.0399780000000001</c:v>
                </c:pt>
                <c:pt idx="3">
                  <c:v>1.059958</c:v>
                </c:pt>
                <c:pt idx="4">
                  <c:v>1.0799380000000001</c:v>
                </c:pt>
                <c:pt idx="5">
                  <c:v>1.099918</c:v>
                </c:pt>
                <c:pt idx="6">
                  <c:v>1.1198980000000001</c:v>
                </c:pt>
                <c:pt idx="7">
                  <c:v>1.1398779999999999</c:v>
                </c:pt>
                <c:pt idx="8">
                  <c:v>1.1598580000000001</c:v>
                </c:pt>
                <c:pt idx="9">
                  <c:v>1.1798379999999999</c:v>
                </c:pt>
                <c:pt idx="10">
                  <c:v>1.1998180000000001</c:v>
                </c:pt>
                <c:pt idx="11">
                  <c:v>1.2197979999999999</c:v>
                </c:pt>
                <c:pt idx="12">
                  <c:v>1.239778</c:v>
                </c:pt>
                <c:pt idx="13">
                  <c:v>1.2597579999999999</c:v>
                </c:pt>
                <c:pt idx="14">
                  <c:v>1.279738</c:v>
                </c:pt>
                <c:pt idx="15">
                  <c:v>1.2997179999999999</c:v>
                </c:pt>
                <c:pt idx="16">
                  <c:v>1.319698</c:v>
                </c:pt>
                <c:pt idx="17">
                  <c:v>1.3396779999999999</c:v>
                </c:pt>
                <c:pt idx="18">
                  <c:v>1.359658</c:v>
                </c:pt>
                <c:pt idx="19">
                  <c:v>1.3796379999999999</c:v>
                </c:pt>
                <c:pt idx="20">
                  <c:v>1.399618</c:v>
                </c:pt>
                <c:pt idx="21">
                  <c:v>1.4195979999999999</c:v>
                </c:pt>
                <c:pt idx="22">
                  <c:v>1.439578</c:v>
                </c:pt>
                <c:pt idx="23">
                  <c:v>1.4595579999999999</c:v>
                </c:pt>
                <c:pt idx="24">
                  <c:v>1.479538</c:v>
                </c:pt>
                <c:pt idx="25">
                  <c:v>1.4995179999999999</c:v>
                </c:pt>
                <c:pt idx="26">
                  <c:v>1.519498</c:v>
                </c:pt>
                <c:pt idx="27">
                  <c:v>1.5394779999999999</c:v>
                </c:pt>
                <c:pt idx="28">
                  <c:v>1.559458</c:v>
                </c:pt>
                <c:pt idx="29">
                  <c:v>1.5794380000000001</c:v>
                </c:pt>
                <c:pt idx="30">
                  <c:v>1.599418</c:v>
                </c:pt>
                <c:pt idx="31">
                  <c:v>1.6193980000000001</c:v>
                </c:pt>
                <c:pt idx="32">
                  <c:v>1.639378</c:v>
                </c:pt>
                <c:pt idx="33">
                  <c:v>1.6593580000000001</c:v>
                </c:pt>
                <c:pt idx="34">
                  <c:v>1.679338</c:v>
                </c:pt>
                <c:pt idx="35">
                  <c:v>1.6993180000000003</c:v>
                </c:pt>
                <c:pt idx="36">
                  <c:v>1.7192980000000002</c:v>
                </c:pt>
                <c:pt idx="37">
                  <c:v>1.7392780000000001</c:v>
                </c:pt>
                <c:pt idx="38">
                  <c:v>1.7592580000000004</c:v>
                </c:pt>
                <c:pt idx="39">
                  <c:v>1.7800000000000002</c:v>
                </c:pt>
                <c:pt idx="40">
                  <c:v>1.8399999999999999</c:v>
                </c:pt>
                <c:pt idx="41">
                  <c:v>1.9000000000000001</c:v>
                </c:pt>
                <c:pt idx="42">
                  <c:v>1.96</c:v>
                </c:pt>
                <c:pt idx="43">
                  <c:v>2.0200000000000005</c:v>
                </c:pt>
                <c:pt idx="44">
                  <c:v>2.08</c:v>
                </c:pt>
                <c:pt idx="45">
                  <c:v>2.1400000000000006</c:v>
                </c:pt>
                <c:pt idx="46">
                  <c:v>2.2000000000000002</c:v>
                </c:pt>
                <c:pt idx="47">
                  <c:v>2.2600000000000002</c:v>
                </c:pt>
                <c:pt idx="48">
                  <c:v>2.3200000000000003</c:v>
                </c:pt>
                <c:pt idx="49">
                  <c:v>2.3800000000000003</c:v>
                </c:pt>
                <c:pt idx="50">
                  <c:v>2.4400000000000004</c:v>
                </c:pt>
                <c:pt idx="51">
                  <c:v>2.5000000000000004</c:v>
                </c:pt>
                <c:pt idx="52">
                  <c:v>2.8000000000000007</c:v>
                </c:pt>
                <c:pt idx="53">
                  <c:v>3.1000000000000005</c:v>
                </c:pt>
                <c:pt idx="54">
                  <c:v>3.4000000000000004</c:v>
                </c:pt>
                <c:pt idx="55">
                  <c:v>3.7000000000000006</c:v>
                </c:pt>
                <c:pt idx="56">
                  <c:v>4</c:v>
                </c:pt>
              </c:numCache>
            </c:numRef>
          </c:yVal>
          <c:smooth val="1"/>
        </c:ser>
        <c:ser>
          <c:idx val="2"/>
          <c:order val="3"/>
          <c:tx>
            <c:strRef>
              <c:f>dura!$G$4</c:f>
              <c:strCache>
                <c:ptCount val="1"/>
                <c:pt idx="0">
                  <c:v>InsReq_new</c:v>
                </c:pt>
              </c:strCache>
            </c:strRef>
          </c:tx>
          <c:spPr>
            <a:ln w="31680">
              <a:solidFill>
                <a:srgbClr val="FFD320"/>
              </a:solidFill>
            </a:ln>
          </c:spPr>
          <c:marker>
            <c:symbol val="none"/>
          </c:marker>
          <c:xVal>
            <c:numRef>
              <c:f>dura!$A$5:$A$61</c:f>
              <c:numCache>
                <c:formatCode>0.000</c:formatCode>
                <c:ptCount val="57"/>
                <c:pt idx="0" formatCode="General">
                  <c:v>0</c:v>
                </c:pt>
                <c:pt idx="1">
                  <c:v>3.3329999999999999E-2</c:v>
                </c:pt>
                <c:pt idx="2">
                  <c:v>6.6629999999999995E-2</c:v>
                </c:pt>
                <c:pt idx="3">
                  <c:v>9.9929999999999991E-2</c:v>
                </c:pt>
                <c:pt idx="4">
                  <c:v>0.13322999999999999</c:v>
                </c:pt>
                <c:pt idx="5">
                  <c:v>0.16652999999999998</c:v>
                </c:pt>
                <c:pt idx="6">
                  <c:v>0.19982999999999998</c:v>
                </c:pt>
                <c:pt idx="7">
                  <c:v>0.23312999999999998</c:v>
                </c:pt>
                <c:pt idx="8">
                  <c:v>0.26643</c:v>
                </c:pt>
                <c:pt idx="9">
                  <c:v>0.29973</c:v>
                </c:pt>
                <c:pt idx="10">
                  <c:v>0.33302999999999999</c:v>
                </c:pt>
                <c:pt idx="11">
                  <c:v>0.36632999999999999</c:v>
                </c:pt>
                <c:pt idx="12">
                  <c:v>0.39962999999999999</c:v>
                </c:pt>
                <c:pt idx="13">
                  <c:v>0.43292999999999998</c:v>
                </c:pt>
                <c:pt idx="14">
                  <c:v>0.46622999999999998</c:v>
                </c:pt>
                <c:pt idx="15">
                  <c:v>0.49952999999999997</c:v>
                </c:pt>
                <c:pt idx="16">
                  <c:v>0.53283000000000003</c:v>
                </c:pt>
                <c:pt idx="17">
                  <c:v>0.56613000000000002</c:v>
                </c:pt>
                <c:pt idx="18">
                  <c:v>0.59943000000000002</c:v>
                </c:pt>
                <c:pt idx="19">
                  <c:v>0.63273000000000001</c:v>
                </c:pt>
                <c:pt idx="20">
                  <c:v>0.66603000000000001</c:v>
                </c:pt>
                <c:pt idx="21">
                  <c:v>0.69933000000000001</c:v>
                </c:pt>
                <c:pt idx="22">
                  <c:v>0.73263</c:v>
                </c:pt>
                <c:pt idx="23">
                  <c:v>0.76593</c:v>
                </c:pt>
                <c:pt idx="24">
                  <c:v>0.79923</c:v>
                </c:pt>
                <c:pt idx="25">
                  <c:v>0.83252999999999999</c:v>
                </c:pt>
                <c:pt idx="26">
                  <c:v>0.86582999999999999</c:v>
                </c:pt>
                <c:pt idx="27">
                  <c:v>0.89912999999999998</c:v>
                </c:pt>
                <c:pt idx="28">
                  <c:v>0.93242999999999998</c:v>
                </c:pt>
                <c:pt idx="29">
                  <c:v>0.96572999999999998</c:v>
                </c:pt>
                <c:pt idx="30">
                  <c:v>0.99902999999999997</c:v>
                </c:pt>
                <c:pt idx="31">
                  <c:v>1.03233</c:v>
                </c:pt>
                <c:pt idx="32">
                  <c:v>1.0656300000000001</c:v>
                </c:pt>
                <c:pt idx="33">
                  <c:v>1.0989300000000002</c:v>
                </c:pt>
                <c:pt idx="34">
                  <c:v>1.1322300000000003</c:v>
                </c:pt>
                <c:pt idx="35">
                  <c:v>1.1655300000000004</c:v>
                </c:pt>
                <c:pt idx="36">
                  <c:v>1.1988300000000005</c:v>
                </c:pt>
                <c:pt idx="37">
                  <c:v>1.2321300000000006</c:v>
                </c:pt>
                <c:pt idx="38">
                  <c:v>1.2654300000000007</c:v>
                </c:pt>
                <c:pt idx="39" formatCode="0.00">
                  <c:v>1.3</c:v>
                </c:pt>
                <c:pt idx="40" formatCode="0.00">
                  <c:v>1.4000000000000001</c:v>
                </c:pt>
                <c:pt idx="41" formatCode="0.00">
                  <c:v>1.5000000000000002</c:v>
                </c:pt>
                <c:pt idx="42" formatCode="0.00">
                  <c:v>1.6000000000000003</c:v>
                </c:pt>
                <c:pt idx="43" formatCode="0.00">
                  <c:v>1.7000000000000004</c:v>
                </c:pt>
                <c:pt idx="44" formatCode="0.00">
                  <c:v>1.8000000000000005</c:v>
                </c:pt>
                <c:pt idx="45" formatCode="0.00">
                  <c:v>1.9000000000000006</c:v>
                </c:pt>
                <c:pt idx="46" formatCode="0.00">
                  <c:v>2.0000000000000004</c:v>
                </c:pt>
                <c:pt idx="47" formatCode="0.00">
                  <c:v>2.1000000000000005</c:v>
                </c:pt>
                <c:pt idx="48" formatCode="0.00">
                  <c:v>2.2000000000000006</c:v>
                </c:pt>
                <c:pt idx="49" formatCode="0.00">
                  <c:v>2.3000000000000007</c:v>
                </c:pt>
                <c:pt idx="50" formatCode="0.00">
                  <c:v>2.4000000000000008</c:v>
                </c:pt>
                <c:pt idx="51" formatCode="0.00">
                  <c:v>2.5000000000000009</c:v>
                </c:pt>
                <c:pt idx="52" formatCode="0.0">
                  <c:v>3.0000000000000009</c:v>
                </c:pt>
                <c:pt idx="53" formatCode="0.0">
                  <c:v>3.5000000000000009</c:v>
                </c:pt>
                <c:pt idx="54" formatCode="0.0">
                  <c:v>4.0000000000000009</c:v>
                </c:pt>
                <c:pt idx="55" formatCode="0.0">
                  <c:v>4.5000000000000009</c:v>
                </c:pt>
                <c:pt idx="56" formatCode="0.0">
                  <c:v>5.0000000000000009</c:v>
                </c:pt>
              </c:numCache>
            </c:numRef>
          </c:xVal>
          <c:yVal>
            <c:numRef>
              <c:f>dura!$G$5:$G$61</c:f>
              <c:numCache>
                <c:formatCode>0.000</c:formatCode>
                <c:ptCount val="57"/>
                <c:pt idx="0" formatCode="General">
                  <c:v>1</c:v>
                </c:pt>
                <c:pt idx="1">
                  <c:v>1.026664</c:v>
                </c:pt>
                <c:pt idx="2">
                  <c:v>1.053304</c:v>
                </c:pt>
                <c:pt idx="3">
                  <c:v>1.079944</c:v>
                </c:pt>
                <c:pt idx="4">
                  <c:v>1.106584</c:v>
                </c:pt>
                <c:pt idx="5">
                  <c:v>1.133224</c:v>
                </c:pt>
                <c:pt idx="6">
                  <c:v>1.159864</c:v>
                </c:pt>
                <c:pt idx="7">
                  <c:v>1.186504</c:v>
                </c:pt>
                <c:pt idx="8">
                  <c:v>1.2131440000000002</c:v>
                </c:pt>
                <c:pt idx="9">
                  <c:v>1.239784</c:v>
                </c:pt>
                <c:pt idx="10">
                  <c:v>1.266424</c:v>
                </c:pt>
                <c:pt idx="11">
                  <c:v>1.293064</c:v>
                </c:pt>
                <c:pt idx="12">
                  <c:v>1.319704</c:v>
                </c:pt>
                <c:pt idx="13">
                  <c:v>1.346344</c:v>
                </c:pt>
                <c:pt idx="14">
                  <c:v>1.372984</c:v>
                </c:pt>
                <c:pt idx="15">
                  <c:v>1.399624</c:v>
                </c:pt>
                <c:pt idx="16">
                  <c:v>1.426264</c:v>
                </c:pt>
                <c:pt idx="17">
                  <c:v>1.452904</c:v>
                </c:pt>
                <c:pt idx="18">
                  <c:v>1.479544</c:v>
                </c:pt>
                <c:pt idx="19">
                  <c:v>1.5061840000000002</c:v>
                </c:pt>
                <c:pt idx="20">
                  <c:v>1.5328240000000002</c:v>
                </c:pt>
                <c:pt idx="21">
                  <c:v>1.5594640000000002</c:v>
                </c:pt>
                <c:pt idx="22">
                  <c:v>1.5861040000000002</c:v>
                </c:pt>
                <c:pt idx="23">
                  <c:v>1.6127440000000002</c:v>
                </c:pt>
                <c:pt idx="24">
                  <c:v>1.6393840000000002</c:v>
                </c:pt>
                <c:pt idx="25">
                  <c:v>1.6660240000000004</c:v>
                </c:pt>
                <c:pt idx="26">
                  <c:v>1.6926640000000002</c:v>
                </c:pt>
                <c:pt idx="27">
                  <c:v>1.7193040000000002</c:v>
                </c:pt>
                <c:pt idx="28">
                  <c:v>1.7459440000000002</c:v>
                </c:pt>
                <c:pt idx="29">
                  <c:v>1.7725840000000004</c:v>
                </c:pt>
                <c:pt idx="30">
                  <c:v>1.7992239999999999</c:v>
                </c:pt>
                <c:pt idx="31">
                  <c:v>1.8258640000000002</c:v>
                </c:pt>
                <c:pt idx="32">
                  <c:v>1.8525040000000002</c:v>
                </c:pt>
                <c:pt idx="33">
                  <c:v>1.8791440000000001</c:v>
                </c:pt>
                <c:pt idx="34">
                  <c:v>1.9057840000000004</c:v>
                </c:pt>
                <c:pt idx="35">
                  <c:v>1.9324240000000006</c:v>
                </c:pt>
                <c:pt idx="36">
                  <c:v>1.9590640000000004</c:v>
                </c:pt>
                <c:pt idx="37">
                  <c:v>1.9857040000000006</c:v>
                </c:pt>
                <c:pt idx="38">
                  <c:v>2.0123440000000006</c:v>
                </c:pt>
                <c:pt idx="39">
                  <c:v>2.04</c:v>
                </c:pt>
                <c:pt idx="40">
                  <c:v>2.12</c:v>
                </c:pt>
                <c:pt idx="41">
                  <c:v>2.2000000000000002</c:v>
                </c:pt>
                <c:pt idx="42">
                  <c:v>2.2800000000000002</c:v>
                </c:pt>
                <c:pt idx="43">
                  <c:v>2.3600000000000003</c:v>
                </c:pt>
                <c:pt idx="44">
                  <c:v>2.4400000000000004</c:v>
                </c:pt>
                <c:pt idx="45">
                  <c:v>2.5200000000000005</c:v>
                </c:pt>
                <c:pt idx="46">
                  <c:v>2.6000000000000005</c:v>
                </c:pt>
                <c:pt idx="47">
                  <c:v>2.6800000000000006</c:v>
                </c:pt>
                <c:pt idx="48">
                  <c:v>2.7600000000000007</c:v>
                </c:pt>
                <c:pt idx="49">
                  <c:v>2.8400000000000007</c:v>
                </c:pt>
                <c:pt idx="50">
                  <c:v>2.9200000000000008</c:v>
                </c:pt>
                <c:pt idx="51">
                  <c:v>3.0000000000000009</c:v>
                </c:pt>
                <c:pt idx="52">
                  <c:v>3.4000000000000008</c:v>
                </c:pt>
                <c:pt idx="53">
                  <c:v>3.8000000000000012</c:v>
                </c:pt>
                <c:pt idx="54">
                  <c:v>4.2000000000000011</c:v>
                </c:pt>
                <c:pt idx="55">
                  <c:v>4.6000000000000014</c:v>
                </c:pt>
                <c:pt idx="56">
                  <c:v>5.0000000000000009</c:v>
                </c:pt>
              </c:numCache>
            </c:numRef>
          </c:yVal>
          <c:smooth val="1"/>
        </c:ser>
        <c:dLbls>
          <c:showLegendKey val="0"/>
          <c:showVal val="0"/>
          <c:showCatName val="0"/>
          <c:showSerName val="0"/>
          <c:showPercent val="0"/>
          <c:showBubbleSize val="0"/>
        </c:dLbls>
        <c:axId val="1086070480"/>
        <c:axId val="1086081904"/>
      </c:scatterChart>
      <c:valAx>
        <c:axId val="1285239200"/>
        <c:scaling>
          <c:orientation val="minMax"/>
        </c:scaling>
        <c:delete val="0"/>
        <c:axPos val="l"/>
        <c:majorGridlines>
          <c:spPr>
            <a:ln>
              <a:solidFill>
                <a:srgbClr val="B3B3B3"/>
              </a:solidFill>
            </a:ln>
          </c:spPr>
        </c:majorGridlines>
        <c:title>
          <c:tx>
            <c:rich>
              <a:bodyPr/>
              <a:lstStyle/>
              <a:p>
                <a:pPr>
                  <a:defRPr sz="900" b="0"/>
                </a:pPr>
                <a:r>
                  <a:rPr lang="de-DE"/>
                  <a:t>ISF</a:t>
                </a:r>
              </a:p>
            </c:rich>
          </c:tx>
          <c:layout/>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1086081360"/>
        <c:crossesAt val="0"/>
        <c:crossBetween val="midCat"/>
      </c:valAx>
      <c:valAx>
        <c:axId val="1086081360"/>
        <c:scaling>
          <c:orientation val="minMax"/>
        </c:scaling>
        <c:delete val="0"/>
        <c:axPos val="b"/>
        <c:title>
          <c:tx>
            <c:rich>
              <a:bodyPr/>
              <a:lstStyle/>
              <a:p>
                <a:pPr>
                  <a:defRPr sz="900" b="0"/>
                </a:pPr>
                <a:r>
                  <a:rPr lang="de-DE" sz="1200" b="1">
                    <a:solidFill>
                      <a:srgbClr val="FF0000"/>
                    </a:solidFill>
                  </a:rPr>
                  <a:t>iF</a:t>
                </a:r>
                <a:r>
                  <a:rPr lang="de-DE" sz="1200"/>
                  <a:t> ~ avg.bg, duration</a:t>
                </a:r>
                <a:r>
                  <a:rPr lang="de-DE"/>
                  <a:t> </a:t>
                </a:r>
              </a:p>
            </c:rich>
          </c:tx>
          <c:layout/>
          <c:overlay val="0"/>
        </c:title>
        <c:numFmt formatCode="General" sourceLinked="1"/>
        <c:majorTickMark val="none"/>
        <c:minorTickMark val="none"/>
        <c:tickLblPos val="nextTo"/>
        <c:spPr>
          <a:ln>
            <a:solidFill>
              <a:srgbClr val="B3B3B3"/>
            </a:solidFill>
          </a:ln>
        </c:spPr>
        <c:txPr>
          <a:bodyPr/>
          <a:lstStyle/>
          <a:p>
            <a:pPr>
              <a:defRPr sz="800" b="0" baseline="0">
                <a:solidFill>
                  <a:srgbClr val="FF0000"/>
                </a:solidFill>
              </a:defRPr>
            </a:pPr>
            <a:endParaRPr lang="de-DE"/>
          </a:p>
        </c:txPr>
        <c:crossAx val="1285239200"/>
        <c:crossesAt val="0"/>
        <c:crossBetween val="midCat"/>
      </c:valAx>
      <c:valAx>
        <c:axId val="1086081904"/>
        <c:scaling>
          <c:orientation val="minMax"/>
        </c:scaling>
        <c:delete val="0"/>
        <c:axPos val="r"/>
        <c:title>
          <c:tx>
            <c:rich>
              <a:bodyPr/>
              <a:lstStyle/>
              <a:p>
                <a:pPr>
                  <a:defRPr sz="900" b="0"/>
                </a:pPr>
                <a:r>
                  <a:rPr lang="de-DE"/>
                  <a:t>Insulin Required</a:t>
                </a:r>
              </a:p>
            </c:rich>
          </c:tx>
          <c:layout/>
          <c:overlay val="0"/>
        </c:title>
        <c:numFmt formatCode="General" sourceLinked="1"/>
        <c:majorTickMark val="none"/>
        <c:minorTickMark val="none"/>
        <c:tickLblPos val="nextTo"/>
        <c:spPr>
          <a:ln>
            <a:solidFill>
              <a:srgbClr val="B3B3B3"/>
            </a:solidFill>
          </a:ln>
        </c:spPr>
        <c:txPr>
          <a:bodyPr/>
          <a:lstStyle/>
          <a:p>
            <a:pPr>
              <a:defRPr sz="800" b="0"/>
            </a:pPr>
            <a:endParaRPr lang="de-DE"/>
          </a:p>
        </c:txPr>
        <c:crossAx val="1086070480"/>
        <c:crosses val="max"/>
        <c:crossBetween val="midCat"/>
      </c:valAx>
      <c:valAx>
        <c:axId val="1086070480"/>
        <c:scaling>
          <c:orientation val="minMax"/>
        </c:scaling>
        <c:delete val="1"/>
        <c:axPos val="b"/>
        <c:numFmt formatCode="General" sourceLinked="1"/>
        <c:majorTickMark val="none"/>
        <c:minorTickMark val="none"/>
        <c:tickLblPos val="nextTo"/>
        <c:crossAx val="1086081904"/>
        <c:crossesAt val="0"/>
        <c:crossBetween val="midCat"/>
      </c:valAx>
      <c:spPr>
        <a:noFill/>
        <a:ln>
          <a:solidFill>
            <a:srgbClr val="B3B3B3"/>
          </a:solidFill>
          <a:prstDash val="solid"/>
        </a:ln>
      </c:spPr>
    </c:plotArea>
    <c:legend>
      <c:legendPos val="r"/>
      <c:layout>
        <c:manualLayout>
          <c:xMode val="edge"/>
          <c:yMode val="edge"/>
          <c:x val="0.42604371940042501"/>
          <c:y val="0.4499721625705877"/>
          <c:w val="0.43032970968395556"/>
          <c:h val="0.11737169217484178"/>
        </c:manualLayout>
      </c:layout>
      <c:overlay val="0"/>
      <c:spPr>
        <a:solidFill>
          <a:srgbClr val="E6E6E6"/>
        </a:solidFill>
        <a:ln>
          <a:noFill/>
        </a:ln>
      </c:spPr>
      <c:txPr>
        <a:bodyPr/>
        <a:lstStyle/>
        <a:p>
          <a:pPr>
            <a:defRPr sz="1200" b="0" baseline="0"/>
          </a:pPr>
          <a:endParaRPr lang="de-DE"/>
        </a:p>
      </c:txPr>
    </c:legend>
    <c:plotVisOnly val="1"/>
    <c:dispBlanksAs val="gap"/>
    <c:showDLblsOverMax val="0"/>
  </c:chart>
  <c:spPr>
    <a:ln>
      <a:noFill/>
    </a:ln>
  </c:sp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b="1">
                <a:solidFill>
                  <a:srgbClr val="FF0000"/>
                </a:solidFill>
              </a:rPr>
              <a:t>iF</a:t>
            </a:r>
          </a:p>
        </c:rich>
      </c:tx>
      <c:layout>
        <c:manualLayout>
          <c:xMode val="edge"/>
          <c:yMode val="edge"/>
          <c:x val="6.1788044726553165E-2"/>
          <c:y val="0.9354504961777794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de-DE"/>
        </a:p>
      </c:txPr>
    </c:title>
    <c:autoTitleDeleted val="0"/>
    <c:plotArea>
      <c:layout/>
      <c:scatterChart>
        <c:scatterStyle val="lineMarker"/>
        <c:varyColors val="0"/>
        <c:ser>
          <c:idx val="18"/>
          <c:order val="0"/>
          <c:tx>
            <c:strRef>
              <c:f>dura!$B$94</c:f>
              <c:strCache>
                <c:ptCount val="1"/>
                <c:pt idx="0">
                  <c:v>0</c:v>
                </c:pt>
              </c:strCache>
            </c:strRef>
          </c:tx>
          <c:spPr>
            <a:ln w="19050" cap="rnd">
              <a:solidFill>
                <a:schemeClr val="accent1">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dura!$C$94:$N$94</c:f>
              <c:numCache>
                <c:formatCode>0</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yVal>
          <c:smooth val="0"/>
        </c:ser>
        <c:ser>
          <c:idx val="19"/>
          <c:order val="1"/>
          <c:tx>
            <c:strRef>
              <c:f>dura!$B$97</c:f>
              <c:strCache>
                <c:ptCount val="1"/>
                <c:pt idx="0">
                  <c:v>0,1</c:v>
                </c:pt>
              </c:strCache>
            </c:strRef>
          </c:tx>
          <c:spPr>
            <a:ln w="19050" cap="rnd">
              <a:solidFill>
                <a:schemeClr val="accent2">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dura!$C$97:$N$97</c:f>
              <c:numCache>
                <c:formatCode>0</c:formatCode>
                <c:ptCount val="12"/>
                <c:pt idx="0">
                  <c:v>159.958</c:v>
                </c:pt>
                <c:pt idx="1">
                  <c:v>129.97899999999998</c:v>
                </c:pt>
                <c:pt idx="2">
                  <c:v>119.98599999999999</c:v>
                </c:pt>
                <c:pt idx="3">
                  <c:v>114.98949999999999</c:v>
                </c:pt>
                <c:pt idx="4">
                  <c:v>111.99160000000001</c:v>
                </c:pt>
                <c:pt idx="5">
                  <c:v>109.99299999999999</c:v>
                </c:pt>
                <c:pt idx="6">
                  <c:v>108.56542857142857</c:v>
                </c:pt>
                <c:pt idx="7">
                  <c:v>107.49475</c:v>
                </c:pt>
                <c:pt idx="8">
                  <c:v>106.66200000000001</c:v>
                </c:pt>
                <c:pt idx="9">
                  <c:v>105.9958</c:v>
                </c:pt>
                <c:pt idx="10">
                  <c:v>105.45072727272728</c:v>
                </c:pt>
                <c:pt idx="11">
                  <c:v>104.9965</c:v>
                </c:pt>
              </c:numCache>
            </c:numRef>
          </c:yVal>
          <c:smooth val="0"/>
        </c:ser>
        <c:ser>
          <c:idx val="20"/>
          <c:order val="2"/>
          <c:tx>
            <c:strRef>
              <c:f>dura!$B$100</c:f>
              <c:strCache>
                <c:ptCount val="1"/>
                <c:pt idx="0">
                  <c:v>0,2</c:v>
                </c:pt>
              </c:strCache>
            </c:strRef>
          </c:tx>
          <c:spPr>
            <a:ln w="19050" cap="rnd">
              <a:solidFill>
                <a:schemeClr val="accent3">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dura!$C$100:$N$100</c:f>
              <c:numCache>
                <c:formatCode>0</c:formatCode>
                <c:ptCount val="12"/>
                <c:pt idx="0">
                  <c:v>219.89799999999997</c:v>
                </c:pt>
                <c:pt idx="1">
                  <c:v>159.94899999999998</c:v>
                </c:pt>
                <c:pt idx="2">
                  <c:v>139.96600000000001</c:v>
                </c:pt>
                <c:pt idx="3">
                  <c:v>129.97450000000001</c:v>
                </c:pt>
                <c:pt idx="4">
                  <c:v>123.97959999999999</c:v>
                </c:pt>
                <c:pt idx="5">
                  <c:v>119.983</c:v>
                </c:pt>
                <c:pt idx="6">
                  <c:v>117.12828571428571</c:v>
                </c:pt>
                <c:pt idx="7">
                  <c:v>114.98725</c:v>
                </c:pt>
                <c:pt idx="8">
                  <c:v>113.322</c:v>
                </c:pt>
                <c:pt idx="9">
                  <c:v>111.9898</c:v>
                </c:pt>
                <c:pt idx="10">
                  <c:v>110.89981818181818</c:v>
                </c:pt>
                <c:pt idx="11">
                  <c:v>109.9915</c:v>
                </c:pt>
              </c:numCache>
            </c:numRef>
          </c:yVal>
          <c:smooth val="0"/>
        </c:ser>
        <c:ser>
          <c:idx val="21"/>
          <c:order val="3"/>
          <c:tx>
            <c:strRef>
              <c:f>dura!$B$103</c:f>
              <c:strCache>
                <c:ptCount val="1"/>
                <c:pt idx="0">
                  <c:v>0,3</c:v>
                </c:pt>
              </c:strCache>
            </c:strRef>
          </c:tx>
          <c:spPr>
            <a:ln w="19050" cap="rnd">
              <a:solidFill>
                <a:schemeClr val="accent4">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dura!$C$103:$N$103</c:f>
              <c:numCache>
                <c:formatCode>0</c:formatCode>
                <c:ptCount val="12"/>
                <c:pt idx="0">
                  <c:v>279.83799999999997</c:v>
                </c:pt>
                <c:pt idx="1">
                  <c:v>189.91899999999998</c:v>
                </c:pt>
                <c:pt idx="2">
                  <c:v>159.946</c:v>
                </c:pt>
                <c:pt idx="3">
                  <c:v>144.95949999999999</c:v>
                </c:pt>
                <c:pt idx="4">
                  <c:v>135.9676</c:v>
                </c:pt>
                <c:pt idx="5">
                  <c:v>129.97300000000001</c:v>
                </c:pt>
                <c:pt idx="6">
                  <c:v>125.69114285714285</c:v>
                </c:pt>
                <c:pt idx="7">
                  <c:v>122.47975</c:v>
                </c:pt>
                <c:pt idx="8">
                  <c:v>119.982</c:v>
                </c:pt>
                <c:pt idx="9">
                  <c:v>117.9838</c:v>
                </c:pt>
                <c:pt idx="10">
                  <c:v>116.34890909090909</c:v>
                </c:pt>
                <c:pt idx="11">
                  <c:v>114.98650000000001</c:v>
                </c:pt>
              </c:numCache>
            </c:numRef>
          </c:yVal>
          <c:smooth val="0"/>
        </c:ser>
        <c:ser>
          <c:idx val="22"/>
          <c:order val="4"/>
          <c:tx>
            <c:strRef>
              <c:f>dura!$B$106</c:f>
              <c:strCache>
                <c:ptCount val="1"/>
                <c:pt idx="0">
                  <c:v>0,4</c:v>
                </c:pt>
              </c:strCache>
            </c:strRef>
          </c:tx>
          <c:spPr>
            <a:ln w="19050" cap="rnd">
              <a:solidFill>
                <a:schemeClr val="accent5">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dura!$C$106:$N$106</c:f>
              <c:numCache>
                <c:formatCode>0</c:formatCode>
                <c:ptCount val="12"/>
                <c:pt idx="0">
                  <c:v>339.77800000000002</c:v>
                </c:pt>
                <c:pt idx="1">
                  <c:v>219.88900000000001</c:v>
                </c:pt>
                <c:pt idx="2">
                  <c:v>179.92599999999999</c:v>
                </c:pt>
                <c:pt idx="3">
                  <c:v>159.94450000000001</c:v>
                </c:pt>
                <c:pt idx="4">
                  <c:v>147.9556</c:v>
                </c:pt>
                <c:pt idx="5">
                  <c:v>139.96299999999999</c:v>
                </c:pt>
                <c:pt idx="6">
                  <c:v>134.25399999999999</c:v>
                </c:pt>
                <c:pt idx="7">
                  <c:v>129.97225</c:v>
                </c:pt>
                <c:pt idx="8">
                  <c:v>126.642</c:v>
                </c:pt>
                <c:pt idx="9">
                  <c:v>123.9778</c:v>
                </c:pt>
                <c:pt idx="10">
                  <c:v>121.798</c:v>
                </c:pt>
                <c:pt idx="11">
                  <c:v>119.9815</c:v>
                </c:pt>
              </c:numCache>
            </c:numRef>
          </c:yVal>
          <c:smooth val="0"/>
        </c:ser>
        <c:ser>
          <c:idx val="23"/>
          <c:order val="5"/>
          <c:tx>
            <c:strRef>
              <c:f>dura!$B$109</c:f>
              <c:strCache>
                <c:ptCount val="1"/>
                <c:pt idx="0">
                  <c:v>0,5</c:v>
                </c:pt>
              </c:strCache>
            </c:strRef>
          </c:tx>
          <c:spPr>
            <a:ln w="19050" cap="rnd">
              <a:solidFill>
                <a:schemeClr val="accent6">
                  <a:lumMod val="8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dura!$C$109:$N$109</c:f>
              <c:numCache>
                <c:formatCode>0</c:formatCode>
                <c:ptCount val="12"/>
                <c:pt idx="0">
                  <c:v>399.71800000000002</c:v>
                </c:pt>
                <c:pt idx="1">
                  <c:v>249.85900000000001</c:v>
                </c:pt>
                <c:pt idx="2">
                  <c:v>199.90600000000001</c:v>
                </c:pt>
                <c:pt idx="3">
                  <c:v>174.92950000000002</c:v>
                </c:pt>
                <c:pt idx="4">
                  <c:v>159.9436</c:v>
                </c:pt>
                <c:pt idx="5">
                  <c:v>149.953</c:v>
                </c:pt>
                <c:pt idx="6">
                  <c:v>142.81685714285715</c:v>
                </c:pt>
                <c:pt idx="7">
                  <c:v>137.46475000000001</c:v>
                </c:pt>
                <c:pt idx="8">
                  <c:v>133.30199999999999</c:v>
                </c:pt>
                <c:pt idx="9">
                  <c:v>129.9718</c:v>
                </c:pt>
                <c:pt idx="10">
                  <c:v>127.2470909090909</c:v>
                </c:pt>
                <c:pt idx="11">
                  <c:v>124.9765</c:v>
                </c:pt>
              </c:numCache>
            </c:numRef>
          </c:yVal>
          <c:smooth val="0"/>
        </c:ser>
        <c:ser>
          <c:idx val="24"/>
          <c:order val="6"/>
          <c:tx>
            <c:strRef>
              <c:f>dura!$B$110</c:f>
              <c:strCache>
                <c:ptCount val="1"/>
                <c:pt idx="0">
                  <c:v>0,533</c:v>
                </c:pt>
              </c:strCache>
            </c:strRef>
          </c:tx>
          <c:spPr>
            <a:ln w="19050" cap="rnd">
              <a:solidFill>
                <a:srgbClr val="00B05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dura!$C$110:$N$110</c:f>
              <c:numCache>
                <c:formatCode>0</c:formatCode>
                <c:ptCount val="12"/>
                <c:pt idx="0">
                  <c:v>419.69800000000004</c:v>
                </c:pt>
                <c:pt idx="1">
                  <c:v>259.84900000000005</c:v>
                </c:pt>
                <c:pt idx="2">
                  <c:v>206.566</c:v>
                </c:pt>
                <c:pt idx="3">
                  <c:v>179.92450000000002</c:v>
                </c:pt>
                <c:pt idx="4">
                  <c:v>163.93959999999998</c:v>
                </c:pt>
                <c:pt idx="5">
                  <c:v>153.28300000000002</c:v>
                </c:pt>
                <c:pt idx="6">
                  <c:v>145.67114285714285</c:v>
                </c:pt>
                <c:pt idx="7">
                  <c:v>139.96225000000001</c:v>
                </c:pt>
                <c:pt idx="8">
                  <c:v>135.52199999999999</c:v>
                </c:pt>
                <c:pt idx="9">
                  <c:v>131.96979999999999</c:v>
                </c:pt>
                <c:pt idx="10">
                  <c:v>129.06345454545453</c:v>
                </c:pt>
                <c:pt idx="11">
                  <c:v>126.64150000000001</c:v>
                </c:pt>
              </c:numCache>
            </c:numRef>
          </c:yVal>
          <c:smooth val="0"/>
        </c:ser>
        <c:ser>
          <c:idx val="25"/>
          <c:order val="7"/>
          <c:tx>
            <c:strRef>
              <c:f>dura!$B$112</c:f>
              <c:strCache>
                <c:ptCount val="1"/>
                <c:pt idx="0">
                  <c:v>0,6</c:v>
                </c:pt>
              </c:strCache>
            </c:strRef>
          </c:tx>
          <c:spPr>
            <a:ln w="19050" cap="rnd">
              <a:solidFill>
                <a:schemeClr val="bg1">
                  <a:lumMod val="65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dura!$C$112:$N$112</c:f>
              <c:numCache>
                <c:formatCode>0</c:formatCode>
                <c:ptCount val="12"/>
                <c:pt idx="0">
                  <c:v>459.65800000000007</c:v>
                </c:pt>
                <c:pt idx="1">
                  <c:v>279.82900000000006</c:v>
                </c:pt>
                <c:pt idx="2">
                  <c:v>219.88600000000002</c:v>
                </c:pt>
                <c:pt idx="3">
                  <c:v>189.91450000000003</c:v>
                </c:pt>
                <c:pt idx="4">
                  <c:v>171.9316</c:v>
                </c:pt>
                <c:pt idx="5">
                  <c:v>159.94300000000001</c:v>
                </c:pt>
                <c:pt idx="6">
                  <c:v>151.37971428571427</c:v>
                </c:pt>
                <c:pt idx="7">
                  <c:v>144.95725000000002</c:v>
                </c:pt>
                <c:pt idx="8">
                  <c:v>139.96199999999999</c:v>
                </c:pt>
                <c:pt idx="9">
                  <c:v>135.9658</c:v>
                </c:pt>
                <c:pt idx="10">
                  <c:v>132.69618181818183</c:v>
                </c:pt>
                <c:pt idx="11">
                  <c:v>129.97149999999999</c:v>
                </c:pt>
              </c:numCache>
            </c:numRef>
          </c:yVal>
          <c:smooth val="0"/>
        </c:ser>
        <c:ser>
          <c:idx val="26"/>
          <c:order val="8"/>
          <c:tx>
            <c:strRef>
              <c:f>dura!$B$115</c:f>
              <c:strCache>
                <c:ptCount val="1"/>
                <c:pt idx="0">
                  <c:v>0,7</c:v>
                </c:pt>
              </c:strCache>
            </c:strRef>
          </c:tx>
          <c:spPr>
            <a:ln w="19050" cap="rnd">
              <a:solidFill>
                <a:schemeClr val="accent3">
                  <a:lumMod val="60000"/>
                  <a:lumOff val="4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dura!$C$115:$N$115</c:f>
              <c:numCache>
                <c:formatCode>0</c:formatCode>
                <c:ptCount val="12"/>
                <c:pt idx="0">
                  <c:v>519.59800000000007</c:v>
                </c:pt>
                <c:pt idx="1">
                  <c:v>309.79900000000004</c:v>
                </c:pt>
                <c:pt idx="2">
                  <c:v>239.86600000000001</c:v>
                </c:pt>
                <c:pt idx="3">
                  <c:v>204.89950000000002</c:v>
                </c:pt>
                <c:pt idx="4">
                  <c:v>183.9196</c:v>
                </c:pt>
                <c:pt idx="5">
                  <c:v>169.93299999999999</c:v>
                </c:pt>
                <c:pt idx="6">
                  <c:v>159.94257142857143</c:v>
                </c:pt>
                <c:pt idx="7">
                  <c:v>152.44974999999999</c:v>
                </c:pt>
                <c:pt idx="8">
                  <c:v>146.62200000000001</c:v>
                </c:pt>
                <c:pt idx="9">
                  <c:v>141.9598</c:v>
                </c:pt>
                <c:pt idx="10">
                  <c:v>138.14527272727273</c:v>
                </c:pt>
                <c:pt idx="11">
                  <c:v>134.9665</c:v>
                </c:pt>
              </c:numCache>
            </c:numRef>
          </c:yVal>
          <c:smooth val="0"/>
        </c:ser>
        <c:ser>
          <c:idx val="27"/>
          <c:order val="9"/>
          <c:tx>
            <c:strRef>
              <c:f>dura!$B$118</c:f>
              <c:strCache>
                <c:ptCount val="1"/>
                <c:pt idx="0">
                  <c:v>0,8</c:v>
                </c:pt>
              </c:strCache>
            </c:strRef>
          </c:tx>
          <c:spPr>
            <a:ln w="19050" cap="rnd">
              <a:solidFill>
                <a:schemeClr val="accent4">
                  <a:lumMod val="60000"/>
                  <a:lumOff val="4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dura!$C$118:$N$118</c:f>
              <c:numCache>
                <c:formatCode>0</c:formatCode>
                <c:ptCount val="12"/>
                <c:pt idx="0">
                  <c:v>579.53800000000001</c:v>
                </c:pt>
                <c:pt idx="1">
                  <c:v>339.76900000000001</c:v>
                </c:pt>
                <c:pt idx="2">
                  <c:v>259.846</c:v>
                </c:pt>
                <c:pt idx="3">
                  <c:v>219.8845</c:v>
                </c:pt>
                <c:pt idx="4">
                  <c:v>195.9076</c:v>
                </c:pt>
                <c:pt idx="5">
                  <c:v>179.923</c:v>
                </c:pt>
                <c:pt idx="6">
                  <c:v>168.50542857142858</c:v>
                </c:pt>
                <c:pt idx="7">
                  <c:v>159.94225</c:v>
                </c:pt>
                <c:pt idx="8">
                  <c:v>153.28200000000001</c:v>
                </c:pt>
                <c:pt idx="9">
                  <c:v>147.9538</c:v>
                </c:pt>
                <c:pt idx="10">
                  <c:v>143.59436363636365</c:v>
                </c:pt>
                <c:pt idx="11">
                  <c:v>139.9615</c:v>
                </c:pt>
              </c:numCache>
            </c:numRef>
          </c:yVal>
          <c:smooth val="0"/>
        </c:ser>
        <c:ser>
          <c:idx val="28"/>
          <c:order val="10"/>
          <c:tx>
            <c:strRef>
              <c:f>dura!$B$121</c:f>
              <c:strCache>
                <c:ptCount val="1"/>
                <c:pt idx="0">
                  <c:v>0,9</c:v>
                </c:pt>
              </c:strCache>
            </c:strRef>
          </c:tx>
          <c:spPr>
            <a:ln w="19050" cap="rnd">
              <a:solidFill>
                <a:srgbClr val="FF000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dura!$C$121:$N$121</c:f>
              <c:numCache>
                <c:formatCode>0</c:formatCode>
                <c:ptCount val="12"/>
                <c:pt idx="0">
                  <c:v>639.47800000000007</c:v>
                </c:pt>
                <c:pt idx="1">
                  <c:v>369.73900000000003</c:v>
                </c:pt>
                <c:pt idx="2">
                  <c:v>279.82600000000002</c:v>
                </c:pt>
                <c:pt idx="3">
                  <c:v>234.86950000000002</c:v>
                </c:pt>
                <c:pt idx="4">
                  <c:v>207.8956</c:v>
                </c:pt>
                <c:pt idx="5">
                  <c:v>189.91300000000001</c:v>
                </c:pt>
                <c:pt idx="6">
                  <c:v>177.06828571428571</c:v>
                </c:pt>
                <c:pt idx="7">
                  <c:v>167.43475000000001</c:v>
                </c:pt>
                <c:pt idx="8">
                  <c:v>159.94200000000001</c:v>
                </c:pt>
                <c:pt idx="9">
                  <c:v>153.9478</c:v>
                </c:pt>
                <c:pt idx="10">
                  <c:v>149.04345454545455</c:v>
                </c:pt>
                <c:pt idx="11">
                  <c:v>144.95650000000001</c:v>
                </c:pt>
              </c:numCache>
            </c:numRef>
          </c:yVal>
          <c:smooth val="0"/>
        </c:ser>
        <c:ser>
          <c:idx val="29"/>
          <c:order val="11"/>
          <c:tx>
            <c:v>1</c:v>
          </c:tx>
          <c:spPr>
            <a:ln w="19050" cap="rnd">
              <a:solidFill>
                <a:schemeClr val="accent6">
                  <a:lumMod val="60000"/>
                  <a:lumOff val="4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dura!$C$124:$N$124</c:f>
              <c:numCache>
                <c:formatCode>0</c:formatCode>
                <c:ptCount val="12"/>
                <c:pt idx="0">
                  <c:v>699.41800000000001</c:v>
                </c:pt>
                <c:pt idx="1">
                  <c:v>399.709</c:v>
                </c:pt>
                <c:pt idx="2">
                  <c:v>299.80599999999998</c:v>
                </c:pt>
                <c:pt idx="3">
                  <c:v>249.8545</c:v>
                </c:pt>
                <c:pt idx="4">
                  <c:v>219.8836</c:v>
                </c:pt>
                <c:pt idx="5">
                  <c:v>199.90299999999999</c:v>
                </c:pt>
                <c:pt idx="6">
                  <c:v>185.63114285714283</c:v>
                </c:pt>
                <c:pt idx="7">
                  <c:v>174.92725000000002</c:v>
                </c:pt>
                <c:pt idx="8">
                  <c:v>166.60199999999998</c:v>
                </c:pt>
                <c:pt idx="9">
                  <c:v>159.9418</c:v>
                </c:pt>
                <c:pt idx="10">
                  <c:v>154.49254545454545</c:v>
                </c:pt>
                <c:pt idx="11">
                  <c:v>149.95150000000001</c:v>
                </c:pt>
              </c:numCache>
            </c:numRef>
          </c:yVal>
          <c:smooth val="0"/>
        </c:ser>
        <c:ser>
          <c:idx val="30"/>
          <c:order val="12"/>
          <c:tx>
            <c:v>1,5</c:v>
          </c:tx>
          <c:spPr>
            <a:ln w="19050" cap="rnd">
              <a:solidFill>
                <a:schemeClr val="accent1">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dura!$C$135:$D$135</c:f>
              <c:numCache>
                <c:formatCode>0</c:formatCode>
                <c:ptCount val="2"/>
                <c:pt idx="0">
                  <c:v>1000.0000000000002</c:v>
                </c:pt>
                <c:pt idx="1">
                  <c:v>550.00000000000011</c:v>
                </c:pt>
              </c:numCache>
            </c:numRef>
          </c:yVal>
          <c:smooth val="0"/>
        </c:ser>
        <c:ser>
          <c:idx val="31"/>
          <c:order val="13"/>
          <c:tx>
            <c:v>2,0</c:v>
          </c:tx>
          <c:spPr>
            <a:ln w="19050" cap="rnd">
              <a:solidFill>
                <a:schemeClr val="accent2">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dura!$C$140:$D$140</c:f>
              <c:numCache>
                <c:formatCode>0</c:formatCode>
                <c:ptCount val="2"/>
                <c:pt idx="0">
                  <c:v>1300.0000000000005</c:v>
                </c:pt>
                <c:pt idx="1">
                  <c:v>700.00000000000023</c:v>
                </c:pt>
              </c:numCache>
            </c:numRef>
          </c:yVal>
          <c:smooth val="0"/>
        </c:ser>
        <c:ser>
          <c:idx val="32"/>
          <c:order val="14"/>
          <c:tx>
            <c:strRef>
              <c:f>dura!$B$145</c:f>
              <c:strCache>
                <c:ptCount val="1"/>
                <c:pt idx="0">
                  <c:v>2,5</c:v>
                </c:pt>
              </c:strCache>
            </c:strRef>
          </c:tx>
          <c:spPr>
            <a:ln w="19050" cap="rnd">
              <a:solidFill>
                <a:schemeClr val="accent3">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dura!$C$145:$N$145</c:f>
              <c:numCache>
                <c:formatCode>0</c:formatCode>
                <c:ptCount val="12"/>
                <c:pt idx="0">
                  <c:v>1600.0000000000007</c:v>
                </c:pt>
                <c:pt idx="1">
                  <c:v>850.00000000000034</c:v>
                </c:pt>
                <c:pt idx="2">
                  <c:v>600.00000000000023</c:v>
                </c:pt>
                <c:pt idx="3">
                  <c:v>475.00000000000017</c:v>
                </c:pt>
                <c:pt idx="4">
                  <c:v>400.00000000000011</c:v>
                </c:pt>
                <c:pt idx="5">
                  <c:v>350.00000000000011</c:v>
                </c:pt>
                <c:pt idx="6">
                  <c:v>314.28571428571433</c:v>
                </c:pt>
                <c:pt idx="7">
                  <c:v>287.50000000000011</c:v>
                </c:pt>
                <c:pt idx="8">
                  <c:v>266.66666666666674</c:v>
                </c:pt>
                <c:pt idx="9">
                  <c:v>250.00000000000006</c:v>
                </c:pt>
                <c:pt idx="10">
                  <c:v>236.3636363636364</c:v>
                </c:pt>
                <c:pt idx="11">
                  <c:v>225.00000000000006</c:v>
                </c:pt>
              </c:numCache>
            </c:numRef>
          </c:yVal>
          <c:smooth val="0"/>
        </c:ser>
        <c:ser>
          <c:idx val="33"/>
          <c:order val="15"/>
          <c:spPr>
            <a:ln w="19050" cap="rnd">
              <a:solidFill>
                <a:schemeClr val="accent4">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dura!$C$140:$N$140</c:f>
              <c:numCache>
                <c:formatCode>0</c:formatCode>
                <c:ptCount val="12"/>
                <c:pt idx="0">
                  <c:v>1300.0000000000005</c:v>
                </c:pt>
                <c:pt idx="1">
                  <c:v>700.00000000000023</c:v>
                </c:pt>
                <c:pt idx="2">
                  <c:v>500.00000000000011</c:v>
                </c:pt>
                <c:pt idx="3">
                  <c:v>400.00000000000011</c:v>
                </c:pt>
                <c:pt idx="4">
                  <c:v>340.00000000000006</c:v>
                </c:pt>
                <c:pt idx="5">
                  <c:v>300.00000000000006</c:v>
                </c:pt>
                <c:pt idx="6">
                  <c:v>271.42857142857144</c:v>
                </c:pt>
                <c:pt idx="7">
                  <c:v>250.00000000000006</c:v>
                </c:pt>
                <c:pt idx="8">
                  <c:v>233.33333333333337</c:v>
                </c:pt>
                <c:pt idx="9">
                  <c:v>220.00000000000003</c:v>
                </c:pt>
                <c:pt idx="10">
                  <c:v>209.09090909090912</c:v>
                </c:pt>
                <c:pt idx="11">
                  <c:v>200.00000000000003</c:v>
                </c:pt>
              </c:numCache>
            </c:numRef>
          </c:yVal>
          <c:smooth val="0"/>
        </c:ser>
        <c:ser>
          <c:idx val="34"/>
          <c:order val="16"/>
          <c:spPr>
            <a:ln w="19050" cap="rnd">
              <a:solidFill>
                <a:schemeClr val="accent5">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dura!$C$135:$N$135</c:f>
              <c:numCache>
                <c:formatCode>0</c:formatCode>
                <c:ptCount val="12"/>
                <c:pt idx="0">
                  <c:v>1000.0000000000002</c:v>
                </c:pt>
                <c:pt idx="1">
                  <c:v>550.00000000000011</c:v>
                </c:pt>
                <c:pt idx="2">
                  <c:v>400.00000000000006</c:v>
                </c:pt>
                <c:pt idx="3">
                  <c:v>325.00000000000006</c:v>
                </c:pt>
                <c:pt idx="4">
                  <c:v>280</c:v>
                </c:pt>
                <c:pt idx="5">
                  <c:v>250.00000000000003</c:v>
                </c:pt>
                <c:pt idx="6">
                  <c:v>228.57142857142858</c:v>
                </c:pt>
                <c:pt idx="7">
                  <c:v>212.50000000000003</c:v>
                </c:pt>
                <c:pt idx="8">
                  <c:v>200</c:v>
                </c:pt>
                <c:pt idx="9">
                  <c:v>190</c:v>
                </c:pt>
                <c:pt idx="10">
                  <c:v>181.81818181818184</c:v>
                </c:pt>
                <c:pt idx="11">
                  <c:v>175</c:v>
                </c:pt>
              </c:numCache>
            </c:numRef>
          </c:yVal>
          <c:smooth val="0"/>
        </c:ser>
        <c:ser>
          <c:idx val="35"/>
          <c:order val="17"/>
          <c:tx>
            <c:strRef>
              <c:f>dura!$B$148</c:f>
              <c:strCache>
                <c:ptCount val="1"/>
                <c:pt idx="0">
                  <c:v>4,0</c:v>
                </c:pt>
              </c:strCache>
            </c:strRef>
          </c:tx>
          <c:spPr>
            <a:ln w="19050" cap="rnd">
              <a:solidFill>
                <a:schemeClr val="accent6">
                  <a:lumMod val="5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dura!$C$148:$N$148</c:f>
              <c:numCache>
                <c:formatCode>0</c:formatCode>
                <c:ptCount val="12"/>
                <c:pt idx="0">
                  <c:v>2500.0000000000009</c:v>
                </c:pt>
                <c:pt idx="1">
                  <c:v>1300.0000000000005</c:v>
                </c:pt>
                <c:pt idx="2">
                  <c:v>900.00000000000023</c:v>
                </c:pt>
                <c:pt idx="3">
                  <c:v>700.00000000000023</c:v>
                </c:pt>
                <c:pt idx="4">
                  <c:v>580.00000000000011</c:v>
                </c:pt>
                <c:pt idx="5">
                  <c:v>500.00000000000011</c:v>
                </c:pt>
                <c:pt idx="6">
                  <c:v>442.85714285714295</c:v>
                </c:pt>
                <c:pt idx="7">
                  <c:v>400.00000000000011</c:v>
                </c:pt>
                <c:pt idx="8">
                  <c:v>366.66666666666674</c:v>
                </c:pt>
                <c:pt idx="9">
                  <c:v>340.00000000000006</c:v>
                </c:pt>
                <c:pt idx="10">
                  <c:v>318.18181818181824</c:v>
                </c:pt>
                <c:pt idx="11">
                  <c:v>300.00000000000006</c:v>
                </c:pt>
              </c:numCache>
            </c:numRef>
          </c:yVal>
          <c:smooth val="0"/>
        </c:ser>
        <c:ser>
          <c:idx val="11"/>
          <c:order val="18"/>
          <c:tx>
            <c:strRef>
              <c:f>dura!$B$94</c:f>
              <c:strCache>
                <c:ptCount val="1"/>
                <c:pt idx="0">
                  <c:v>0</c:v>
                </c:pt>
              </c:strCache>
            </c:strRef>
          </c:tx>
          <c:spPr>
            <a:ln w="19050" cap="rnd">
              <a:solidFill>
                <a:schemeClr val="accent6">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dura!$C$94:$N$94</c:f>
              <c:numCache>
                <c:formatCode>0</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yVal>
          <c:smooth val="0"/>
        </c:ser>
        <c:ser>
          <c:idx val="10"/>
          <c:order val="19"/>
          <c:tx>
            <c:strRef>
              <c:f>dura!$B$97</c:f>
              <c:strCache>
                <c:ptCount val="1"/>
                <c:pt idx="0">
                  <c:v>0,1</c:v>
                </c:pt>
              </c:strCache>
            </c:strRef>
          </c:tx>
          <c:spPr>
            <a:ln w="19050" cap="rnd">
              <a:solidFill>
                <a:schemeClr val="accent5">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dura!$C$97:$N$97</c:f>
              <c:numCache>
                <c:formatCode>0</c:formatCode>
                <c:ptCount val="12"/>
                <c:pt idx="0">
                  <c:v>159.958</c:v>
                </c:pt>
                <c:pt idx="1">
                  <c:v>129.97899999999998</c:v>
                </c:pt>
                <c:pt idx="2">
                  <c:v>119.98599999999999</c:v>
                </c:pt>
                <c:pt idx="3">
                  <c:v>114.98949999999999</c:v>
                </c:pt>
                <c:pt idx="4">
                  <c:v>111.99160000000001</c:v>
                </c:pt>
                <c:pt idx="5">
                  <c:v>109.99299999999999</c:v>
                </c:pt>
                <c:pt idx="6">
                  <c:v>108.56542857142857</c:v>
                </c:pt>
                <c:pt idx="7">
                  <c:v>107.49475</c:v>
                </c:pt>
                <c:pt idx="8">
                  <c:v>106.66200000000001</c:v>
                </c:pt>
                <c:pt idx="9">
                  <c:v>105.9958</c:v>
                </c:pt>
                <c:pt idx="10">
                  <c:v>105.45072727272728</c:v>
                </c:pt>
                <c:pt idx="11">
                  <c:v>104.9965</c:v>
                </c:pt>
              </c:numCache>
            </c:numRef>
          </c:yVal>
          <c:smooth val="0"/>
        </c:ser>
        <c:ser>
          <c:idx val="9"/>
          <c:order val="20"/>
          <c:tx>
            <c:strRef>
              <c:f>dura!$B$100</c:f>
              <c:strCache>
                <c:ptCount val="1"/>
                <c:pt idx="0">
                  <c:v>0,2</c:v>
                </c:pt>
              </c:strCache>
            </c:strRef>
          </c:tx>
          <c:spPr>
            <a:ln w="19050" cap="rnd">
              <a:solidFill>
                <a:schemeClr val="accent4">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dura!$C$100:$N$100</c:f>
              <c:numCache>
                <c:formatCode>0</c:formatCode>
                <c:ptCount val="12"/>
                <c:pt idx="0">
                  <c:v>219.89799999999997</c:v>
                </c:pt>
                <c:pt idx="1">
                  <c:v>159.94899999999998</c:v>
                </c:pt>
                <c:pt idx="2">
                  <c:v>139.96600000000001</c:v>
                </c:pt>
                <c:pt idx="3">
                  <c:v>129.97450000000001</c:v>
                </c:pt>
                <c:pt idx="4">
                  <c:v>123.97959999999999</c:v>
                </c:pt>
                <c:pt idx="5">
                  <c:v>119.983</c:v>
                </c:pt>
                <c:pt idx="6">
                  <c:v>117.12828571428571</c:v>
                </c:pt>
                <c:pt idx="7">
                  <c:v>114.98725</c:v>
                </c:pt>
                <c:pt idx="8">
                  <c:v>113.322</c:v>
                </c:pt>
                <c:pt idx="9">
                  <c:v>111.9898</c:v>
                </c:pt>
                <c:pt idx="10">
                  <c:v>110.89981818181818</c:v>
                </c:pt>
                <c:pt idx="11">
                  <c:v>109.9915</c:v>
                </c:pt>
              </c:numCache>
            </c:numRef>
          </c:yVal>
          <c:smooth val="0"/>
        </c:ser>
        <c:ser>
          <c:idx val="8"/>
          <c:order val="21"/>
          <c:tx>
            <c:strRef>
              <c:f>dura!$B$103</c:f>
              <c:strCache>
                <c:ptCount val="1"/>
                <c:pt idx="0">
                  <c:v>0,3</c:v>
                </c:pt>
              </c:strCache>
            </c:strRef>
          </c:tx>
          <c:spPr>
            <a:ln w="19050" cap="rnd">
              <a:solidFill>
                <a:schemeClr val="accent3">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dura!$C$103:$N$103</c:f>
              <c:numCache>
                <c:formatCode>0</c:formatCode>
                <c:ptCount val="12"/>
                <c:pt idx="0">
                  <c:v>279.83799999999997</c:v>
                </c:pt>
                <c:pt idx="1">
                  <c:v>189.91899999999998</c:v>
                </c:pt>
                <c:pt idx="2">
                  <c:v>159.946</c:v>
                </c:pt>
                <c:pt idx="3">
                  <c:v>144.95949999999999</c:v>
                </c:pt>
                <c:pt idx="4">
                  <c:v>135.9676</c:v>
                </c:pt>
                <c:pt idx="5">
                  <c:v>129.97300000000001</c:v>
                </c:pt>
                <c:pt idx="6">
                  <c:v>125.69114285714285</c:v>
                </c:pt>
                <c:pt idx="7">
                  <c:v>122.47975</c:v>
                </c:pt>
                <c:pt idx="8">
                  <c:v>119.982</c:v>
                </c:pt>
                <c:pt idx="9">
                  <c:v>117.9838</c:v>
                </c:pt>
                <c:pt idx="10">
                  <c:v>116.34890909090909</c:v>
                </c:pt>
                <c:pt idx="11">
                  <c:v>114.98650000000001</c:v>
                </c:pt>
              </c:numCache>
            </c:numRef>
          </c:yVal>
          <c:smooth val="0"/>
        </c:ser>
        <c:ser>
          <c:idx val="7"/>
          <c:order val="22"/>
          <c:tx>
            <c:strRef>
              <c:f>dura!$B$106</c:f>
              <c:strCache>
                <c:ptCount val="1"/>
                <c:pt idx="0">
                  <c:v>0,4</c:v>
                </c:pt>
              </c:strCache>
            </c:strRef>
          </c:tx>
          <c:spPr>
            <a:ln w="19050" cap="rnd">
              <a:solidFill>
                <a:schemeClr val="accent2">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dura!$C$106:$N$106</c:f>
              <c:numCache>
                <c:formatCode>0</c:formatCode>
                <c:ptCount val="12"/>
                <c:pt idx="0">
                  <c:v>339.77800000000002</c:v>
                </c:pt>
                <c:pt idx="1">
                  <c:v>219.88900000000001</c:v>
                </c:pt>
                <c:pt idx="2">
                  <c:v>179.92599999999999</c:v>
                </c:pt>
                <c:pt idx="3">
                  <c:v>159.94450000000001</c:v>
                </c:pt>
                <c:pt idx="4">
                  <c:v>147.9556</c:v>
                </c:pt>
                <c:pt idx="5">
                  <c:v>139.96299999999999</c:v>
                </c:pt>
                <c:pt idx="6">
                  <c:v>134.25399999999999</c:v>
                </c:pt>
                <c:pt idx="7">
                  <c:v>129.97225</c:v>
                </c:pt>
                <c:pt idx="8">
                  <c:v>126.642</c:v>
                </c:pt>
                <c:pt idx="9">
                  <c:v>123.9778</c:v>
                </c:pt>
                <c:pt idx="10">
                  <c:v>121.798</c:v>
                </c:pt>
                <c:pt idx="11">
                  <c:v>119.9815</c:v>
                </c:pt>
              </c:numCache>
            </c:numRef>
          </c:yVal>
          <c:smooth val="0"/>
        </c:ser>
        <c:ser>
          <c:idx val="6"/>
          <c:order val="23"/>
          <c:tx>
            <c:strRef>
              <c:f>dura!$B$109</c:f>
              <c:strCache>
                <c:ptCount val="1"/>
                <c:pt idx="0">
                  <c:v>0,5</c:v>
                </c:pt>
              </c:strCache>
            </c:strRef>
          </c:tx>
          <c:spPr>
            <a:ln w="19050" cap="rnd">
              <a:solidFill>
                <a:schemeClr val="accent1">
                  <a:lumMod val="6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dura!$C$109:$N$109</c:f>
              <c:numCache>
                <c:formatCode>0</c:formatCode>
                <c:ptCount val="12"/>
                <c:pt idx="0">
                  <c:v>399.71800000000002</c:v>
                </c:pt>
                <c:pt idx="1">
                  <c:v>249.85900000000001</c:v>
                </c:pt>
                <c:pt idx="2">
                  <c:v>199.90600000000001</c:v>
                </c:pt>
                <c:pt idx="3">
                  <c:v>174.92950000000002</c:v>
                </c:pt>
                <c:pt idx="4">
                  <c:v>159.9436</c:v>
                </c:pt>
                <c:pt idx="5">
                  <c:v>149.953</c:v>
                </c:pt>
                <c:pt idx="6">
                  <c:v>142.81685714285715</c:v>
                </c:pt>
                <c:pt idx="7">
                  <c:v>137.46475000000001</c:v>
                </c:pt>
                <c:pt idx="8">
                  <c:v>133.30199999999999</c:v>
                </c:pt>
                <c:pt idx="9">
                  <c:v>129.9718</c:v>
                </c:pt>
                <c:pt idx="10">
                  <c:v>127.2470909090909</c:v>
                </c:pt>
                <c:pt idx="11">
                  <c:v>124.9765</c:v>
                </c:pt>
              </c:numCache>
            </c:numRef>
          </c:yVal>
          <c:smooth val="0"/>
        </c:ser>
        <c:ser>
          <c:idx val="0"/>
          <c:order val="24"/>
          <c:tx>
            <c:strRef>
              <c:f>dura!$B$110</c:f>
              <c:strCache>
                <c:ptCount val="1"/>
                <c:pt idx="0">
                  <c:v>0,533</c:v>
                </c:pt>
              </c:strCache>
            </c:strRef>
          </c:tx>
          <c:spPr>
            <a:ln w="19050" cap="rnd">
              <a:solidFill>
                <a:srgbClr val="00B05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dura!$C$110:$N$110</c:f>
              <c:numCache>
                <c:formatCode>0</c:formatCode>
                <c:ptCount val="12"/>
                <c:pt idx="0">
                  <c:v>419.69800000000004</c:v>
                </c:pt>
                <c:pt idx="1">
                  <c:v>259.84900000000005</c:v>
                </c:pt>
                <c:pt idx="2">
                  <c:v>206.566</c:v>
                </c:pt>
                <c:pt idx="3">
                  <c:v>179.92450000000002</c:v>
                </c:pt>
                <c:pt idx="4">
                  <c:v>163.93959999999998</c:v>
                </c:pt>
                <c:pt idx="5">
                  <c:v>153.28300000000002</c:v>
                </c:pt>
                <c:pt idx="6">
                  <c:v>145.67114285714285</c:v>
                </c:pt>
                <c:pt idx="7">
                  <c:v>139.96225000000001</c:v>
                </c:pt>
                <c:pt idx="8">
                  <c:v>135.52199999999999</c:v>
                </c:pt>
                <c:pt idx="9">
                  <c:v>131.96979999999999</c:v>
                </c:pt>
                <c:pt idx="10">
                  <c:v>129.06345454545453</c:v>
                </c:pt>
                <c:pt idx="11">
                  <c:v>126.64150000000001</c:v>
                </c:pt>
              </c:numCache>
            </c:numRef>
          </c:yVal>
          <c:smooth val="0"/>
        </c:ser>
        <c:ser>
          <c:idx val="5"/>
          <c:order val="25"/>
          <c:tx>
            <c:strRef>
              <c:f>dura!$B$112</c:f>
              <c:strCache>
                <c:ptCount val="1"/>
                <c:pt idx="0">
                  <c:v>0,6</c:v>
                </c:pt>
              </c:strCache>
            </c:strRef>
          </c:tx>
          <c:spPr>
            <a:ln w="19050" cap="rnd">
              <a:solidFill>
                <a:schemeClr val="bg1">
                  <a:lumMod val="65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dura!$C$112:$N$112</c:f>
              <c:numCache>
                <c:formatCode>0</c:formatCode>
                <c:ptCount val="12"/>
                <c:pt idx="0">
                  <c:v>459.65800000000007</c:v>
                </c:pt>
                <c:pt idx="1">
                  <c:v>279.82900000000006</c:v>
                </c:pt>
                <c:pt idx="2">
                  <c:v>219.88600000000002</c:v>
                </c:pt>
                <c:pt idx="3">
                  <c:v>189.91450000000003</c:v>
                </c:pt>
                <c:pt idx="4">
                  <c:v>171.9316</c:v>
                </c:pt>
                <c:pt idx="5">
                  <c:v>159.94300000000001</c:v>
                </c:pt>
                <c:pt idx="6">
                  <c:v>151.37971428571427</c:v>
                </c:pt>
                <c:pt idx="7">
                  <c:v>144.95725000000002</c:v>
                </c:pt>
                <c:pt idx="8">
                  <c:v>139.96199999999999</c:v>
                </c:pt>
                <c:pt idx="9">
                  <c:v>135.9658</c:v>
                </c:pt>
                <c:pt idx="10">
                  <c:v>132.69618181818183</c:v>
                </c:pt>
                <c:pt idx="11">
                  <c:v>129.97149999999999</c:v>
                </c:pt>
              </c:numCache>
            </c:numRef>
          </c:yVal>
          <c:smooth val="0"/>
        </c:ser>
        <c:ser>
          <c:idx val="4"/>
          <c:order val="26"/>
          <c:tx>
            <c:strRef>
              <c:f>dura!$B$115</c:f>
              <c:strCache>
                <c:ptCount val="1"/>
                <c:pt idx="0">
                  <c:v>0,7</c:v>
                </c:pt>
              </c:strCache>
            </c:strRef>
          </c:tx>
          <c:spPr>
            <a:ln w="19050" cap="rnd">
              <a:solidFill>
                <a:schemeClr val="accent5"/>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dura!$C$115:$N$115</c:f>
              <c:numCache>
                <c:formatCode>0</c:formatCode>
                <c:ptCount val="12"/>
                <c:pt idx="0">
                  <c:v>519.59800000000007</c:v>
                </c:pt>
                <c:pt idx="1">
                  <c:v>309.79900000000004</c:v>
                </c:pt>
                <c:pt idx="2">
                  <c:v>239.86600000000001</c:v>
                </c:pt>
                <c:pt idx="3">
                  <c:v>204.89950000000002</c:v>
                </c:pt>
                <c:pt idx="4">
                  <c:v>183.9196</c:v>
                </c:pt>
                <c:pt idx="5">
                  <c:v>169.93299999999999</c:v>
                </c:pt>
                <c:pt idx="6">
                  <c:v>159.94257142857143</c:v>
                </c:pt>
                <c:pt idx="7">
                  <c:v>152.44974999999999</c:v>
                </c:pt>
                <c:pt idx="8">
                  <c:v>146.62200000000001</c:v>
                </c:pt>
                <c:pt idx="9">
                  <c:v>141.9598</c:v>
                </c:pt>
                <c:pt idx="10">
                  <c:v>138.14527272727273</c:v>
                </c:pt>
                <c:pt idx="11">
                  <c:v>134.9665</c:v>
                </c:pt>
              </c:numCache>
            </c:numRef>
          </c:yVal>
          <c:smooth val="0"/>
        </c:ser>
        <c:ser>
          <c:idx val="3"/>
          <c:order val="27"/>
          <c:tx>
            <c:strRef>
              <c:f>dura!$B$118</c:f>
              <c:strCache>
                <c:ptCount val="1"/>
                <c:pt idx="0">
                  <c:v>0,8</c:v>
                </c:pt>
              </c:strCache>
            </c:strRef>
          </c:tx>
          <c:spPr>
            <a:ln w="19050" cap="rnd">
              <a:solidFill>
                <a:schemeClr val="accent4"/>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dura!$C$118:$N$118</c:f>
              <c:numCache>
                <c:formatCode>0</c:formatCode>
                <c:ptCount val="12"/>
                <c:pt idx="0">
                  <c:v>579.53800000000001</c:v>
                </c:pt>
                <c:pt idx="1">
                  <c:v>339.76900000000001</c:v>
                </c:pt>
                <c:pt idx="2">
                  <c:v>259.846</c:v>
                </c:pt>
                <c:pt idx="3">
                  <c:v>219.8845</c:v>
                </c:pt>
                <c:pt idx="4">
                  <c:v>195.9076</c:v>
                </c:pt>
                <c:pt idx="5">
                  <c:v>179.923</c:v>
                </c:pt>
                <c:pt idx="6">
                  <c:v>168.50542857142858</c:v>
                </c:pt>
                <c:pt idx="7">
                  <c:v>159.94225</c:v>
                </c:pt>
                <c:pt idx="8">
                  <c:v>153.28200000000001</c:v>
                </c:pt>
                <c:pt idx="9">
                  <c:v>147.9538</c:v>
                </c:pt>
                <c:pt idx="10">
                  <c:v>143.59436363636365</c:v>
                </c:pt>
                <c:pt idx="11">
                  <c:v>139.9615</c:v>
                </c:pt>
              </c:numCache>
            </c:numRef>
          </c:yVal>
          <c:smooth val="0"/>
        </c:ser>
        <c:ser>
          <c:idx val="2"/>
          <c:order val="28"/>
          <c:tx>
            <c:strRef>
              <c:f>dura!$B$121</c:f>
              <c:strCache>
                <c:ptCount val="1"/>
                <c:pt idx="0">
                  <c:v>0,9</c:v>
                </c:pt>
              </c:strCache>
            </c:strRef>
          </c:tx>
          <c:spPr>
            <a:ln w="19050" cap="rnd">
              <a:solidFill>
                <a:srgbClr val="FF0000"/>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dura!$C$121:$N$121</c:f>
              <c:numCache>
                <c:formatCode>0</c:formatCode>
                <c:ptCount val="12"/>
                <c:pt idx="0">
                  <c:v>639.47800000000007</c:v>
                </c:pt>
                <c:pt idx="1">
                  <c:v>369.73900000000003</c:v>
                </c:pt>
                <c:pt idx="2">
                  <c:v>279.82600000000002</c:v>
                </c:pt>
                <c:pt idx="3">
                  <c:v>234.86950000000002</c:v>
                </c:pt>
                <c:pt idx="4">
                  <c:v>207.8956</c:v>
                </c:pt>
                <c:pt idx="5">
                  <c:v>189.91300000000001</c:v>
                </c:pt>
                <c:pt idx="6">
                  <c:v>177.06828571428571</c:v>
                </c:pt>
                <c:pt idx="7">
                  <c:v>167.43475000000001</c:v>
                </c:pt>
                <c:pt idx="8">
                  <c:v>159.94200000000001</c:v>
                </c:pt>
                <c:pt idx="9">
                  <c:v>153.9478</c:v>
                </c:pt>
                <c:pt idx="10">
                  <c:v>149.04345454545455</c:v>
                </c:pt>
                <c:pt idx="11">
                  <c:v>144.95650000000001</c:v>
                </c:pt>
              </c:numCache>
            </c:numRef>
          </c:yVal>
          <c:smooth val="0"/>
        </c:ser>
        <c:ser>
          <c:idx val="14"/>
          <c:order val="29"/>
          <c:tx>
            <c:v>1</c:v>
          </c:tx>
          <c:spPr>
            <a:ln w="19050" cap="rnd">
              <a:solidFill>
                <a:schemeClr val="accent3">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dura!$C$124:$N$124</c:f>
              <c:numCache>
                <c:formatCode>0</c:formatCode>
                <c:ptCount val="12"/>
                <c:pt idx="0">
                  <c:v>699.41800000000001</c:v>
                </c:pt>
                <c:pt idx="1">
                  <c:v>399.709</c:v>
                </c:pt>
                <c:pt idx="2">
                  <c:v>299.80599999999998</c:v>
                </c:pt>
                <c:pt idx="3">
                  <c:v>249.8545</c:v>
                </c:pt>
                <c:pt idx="4">
                  <c:v>219.8836</c:v>
                </c:pt>
                <c:pt idx="5">
                  <c:v>199.90299999999999</c:v>
                </c:pt>
                <c:pt idx="6">
                  <c:v>185.63114285714283</c:v>
                </c:pt>
                <c:pt idx="7">
                  <c:v>174.92725000000002</c:v>
                </c:pt>
                <c:pt idx="8">
                  <c:v>166.60199999999998</c:v>
                </c:pt>
                <c:pt idx="9">
                  <c:v>159.9418</c:v>
                </c:pt>
                <c:pt idx="10">
                  <c:v>154.49254545454545</c:v>
                </c:pt>
                <c:pt idx="11">
                  <c:v>149.95150000000001</c:v>
                </c:pt>
              </c:numCache>
            </c:numRef>
          </c:yVal>
          <c:smooth val="0"/>
        </c:ser>
        <c:ser>
          <c:idx val="12"/>
          <c:order val="30"/>
          <c:tx>
            <c:v>1,5</c:v>
          </c:tx>
          <c:spPr>
            <a:ln w="19050" cap="rnd">
              <a:solidFill>
                <a:schemeClr val="accent1">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dura!$C$135:$D$135</c:f>
              <c:numCache>
                <c:formatCode>0</c:formatCode>
                <c:ptCount val="2"/>
                <c:pt idx="0">
                  <c:v>1000.0000000000002</c:v>
                </c:pt>
                <c:pt idx="1">
                  <c:v>550.00000000000011</c:v>
                </c:pt>
              </c:numCache>
            </c:numRef>
          </c:yVal>
          <c:smooth val="0"/>
        </c:ser>
        <c:ser>
          <c:idx val="13"/>
          <c:order val="31"/>
          <c:tx>
            <c:v>2,0</c:v>
          </c:tx>
          <c:spPr>
            <a:ln w="19050" cap="rnd">
              <a:solidFill>
                <a:schemeClr val="accent2">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dura!$C$140:$D$140</c:f>
              <c:numCache>
                <c:formatCode>0</c:formatCode>
                <c:ptCount val="2"/>
                <c:pt idx="0">
                  <c:v>1300.0000000000005</c:v>
                </c:pt>
                <c:pt idx="1">
                  <c:v>700.00000000000023</c:v>
                </c:pt>
              </c:numCache>
            </c:numRef>
          </c:yVal>
          <c:smooth val="0"/>
        </c:ser>
        <c:ser>
          <c:idx val="1"/>
          <c:order val="32"/>
          <c:tx>
            <c:strRef>
              <c:f>dura!$B$145</c:f>
              <c:strCache>
                <c:ptCount val="1"/>
                <c:pt idx="0">
                  <c:v>2,5</c:v>
                </c:pt>
              </c:strCache>
            </c:strRef>
          </c:tx>
          <c:spPr>
            <a:ln w="19050" cap="rnd">
              <a:solidFill>
                <a:schemeClr val="accent2"/>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dura!$C$145:$N$145</c:f>
              <c:numCache>
                <c:formatCode>0</c:formatCode>
                <c:ptCount val="12"/>
                <c:pt idx="0">
                  <c:v>1600.0000000000007</c:v>
                </c:pt>
                <c:pt idx="1">
                  <c:v>850.00000000000034</c:v>
                </c:pt>
                <c:pt idx="2">
                  <c:v>600.00000000000023</c:v>
                </c:pt>
                <c:pt idx="3">
                  <c:v>475.00000000000017</c:v>
                </c:pt>
                <c:pt idx="4">
                  <c:v>400.00000000000011</c:v>
                </c:pt>
                <c:pt idx="5">
                  <c:v>350.00000000000011</c:v>
                </c:pt>
                <c:pt idx="6">
                  <c:v>314.28571428571433</c:v>
                </c:pt>
                <c:pt idx="7">
                  <c:v>287.50000000000011</c:v>
                </c:pt>
                <c:pt idx="8">
                  <c:v>266.66666666666674</c:v>
                </c:pt>
                <c:pt idx="9">
                  <c:v>250.00000000000006</c:v>
                </c:pt>
                <c:pt idx="10">
                  <c:v>236.3636363636364</c:v>
                </c:pt>
                <c:pt idx="11">
                  <c:v>225.00000000000006</c:v>
                </c:pt>
              </c:numCache>
            </c:numRef>
          </c:yVal>
          <c:smooth val="0"/>
        </c:ser>
        <c:ser>
          <c:idx val="15"/>
          <c:order val="33"/>
          <c:spPr>
            <a:ln w="19050" cap="rnd">
              <a:solidFill>
                <a:schemeClr val="accent4">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dura!$C$140:$N$140</c:f>
              <c:numCache>
                <c:formatCode>0</c:formatCode>
                <c:ptCount val="12"/>
                <c:pt idx="0">
                  <c:v>1300.0000000000005</c:v>
                </c:pt>
                <c:pt idx="1">
                  <c:v>700.00000000000023</c:v>
                </c:pt>
                <c:pt idx="2">
                  <c:v>500.00000000000011</c:v>
                </c:pt>
                <c:pt idx="3">
                  <c:v>400.00000000000011</c:v>
                </c:pt>
                <c:pt idx="4">
                  <c:v>340.00000000000006</c:v>
                </c:pt>
                <c:pt idx="5">
                  <c:v>300.00000000000006</c:v>
                </c:pt>
                <c:pt idx="6">
                  <c:v>271.42857142857144</c:v>
                </c:pt>
                <c:pt idx="7">
                  <c:v>250.00000000000006</c:v>
                </c:pt>
                <c:pt idx="8">
                  <c:v>233.33333333333337</c:v>
                </c:pt>
                <c:pt idx="9">
                  <c:v>220.00000000000003</c:v>
                </c:pt>
                <c:pt idx="10">
                  <c:v>209.09090909090912</c:v>
                </c:pt>
                <c:pt idx="11">
                  <c:v>200.00000000000003</c:v>
                </c:pt>
              </c:numCache>
            </c:numRef>
          </c:yVal>
          <c:smooth val="0"/>
        </c:ser>
        <c:ser>
          <c:idx val="16"/>
          <c:order val="34"/>
          <c:spPr>
            <a:ln w="19050" cap="rnd">
              <a:solidFill>
                <a:schemeClr val="accent5">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dura!$C$135:$N$135</c:f>
              <c:numCache>
                <c:formatCode>0</c:formatCode>
                <c:ptCount val="12"/>
                <c:pt idx="0">
                  <c:v>1000.0000000000002</c:v>
                </c:pt>
                <c:pt idx="1">
                  <c:v>550.00000000000011</c:v>
                </c:pt>
                <c:pt idx="2">
                  <c:v>400.00000000000006</c:v>
                </c:pt>
                <c:pt idx="3">
                  <c:v>325.00000000000006</c:v>
                </c:pt>
                <c:pt idx="4">
                  <c:v>280</c:v>
                </c:pt>
                <c:pt idx="5">
                  <c:v>250.00000000000003</c:v>
                </c:pt>
                <c:pt idx="6">
                  <c:v>228.57142857142858</c:v>
                </c:pt>
                <c:pt idx="7">
                  <c:v>212.50000000000003</c:v>
                </c:pt>
                <c:pt idx="8">
                  <c:v>200</c:v>
                </c:pt>
                <c:pt idx="9">
                  <c:v>190</c:v>
                </c:pt>
                <c:pt idx="10">
                  <c:v>181.81818181818184</c:v>
                </c:pt>
                <c:pt idx="11">
                  <c:v>175</c:v>
                </c:pt>
              </c:numCache>
            </c:numRef>
          </c:yVal>
          <c:smooth val="0"/>
        </c:ser>
        <c:ser>
          <c:idx val="17"/>
          <c:order val="35"/>
          <c:tx>
            <c:strRef>
              <c:f>dura!$B$148</c:f>
              <c:strCache>
                <c:ptCount val="1"/>
                <c:pt idx="0">
                  <c:v>4,0</c:v>
                </c:pt>
              </c:strCache>
            </c:strRef>
          </c:tx>
          <c:spPr>
            <a:ln w="19050" cap="rnd">
              <a:solidFill>
                <a:schemeClr val="accent6">
                  <a:lumMod val="80000"/>
                  <a:lumOff val="20000"/>
                </a:schemeClr>
              </a:solidFill>
              <a:round/>
            </a:ln>
            <a:effectLst/>
          </c:spPr>
          <c:marker>
            <c:symbol val="none"/>
          </c:marker>
          <c:xVal>
            <c:numRef>
              <c:f>dura!$C$93:$N$93</c:f>
              <c:numCache>
                <c:formatCode>General</c:formatCode>
                <c:ptCount val="12"/>
                <c:pt idx="0">
                  <c:v>10</c:v>
                </c:pt>
                <c:pt idx="1">
                  <c:v>20</c:v>
                </c:pt>
                <c:pt idx="2">
                  <c:v>30</c:v>
                </c:pt>
                <c:pt idx="3">
                  <c:v>40</c:v>
                </c:pt>
                <c:pt idx="4">
                  <c:v>50</c:v>
                </c:pt>
                <c:pt idx="5">
                  <c:v>60</c:v>
                </c:pt>
                <c:pt idx="6">
                  <c:v>70</c:v>
                </c:pt>
                <c:pt idx="7">
                  <c:v>80</c:v>
                </c:pt>
                <c:pt idx="8">
                  <c:v>90</c:v>
                </c:pt>
                <c:pt idx="9">
                  <c:v>100</c:v>
                </c:pt>
                <c:pt idx="10">
                  <c:v>110</c:v>
                </c:pt>
                <c:pt idx="11">
                  <c:v>120</c:v>
                </c:pt>
              </c:numCache>
            </c:numRef>
          </c:xVal>
          <c:yVal>
            <c:numRef>
              <c:f>dura!$C$148:$N$148</c:f>
              <c:numCache>
                <c:formatCode>0</c:formatCode>
                <c:ptCount val="12"/>
                <c:pt idx="0">
                  <c:v>2500.0000000000009</c:v>
                </c:pt>
                <c:pt idx="1">
                  <c:v>1300.0000000000005</c:v>
                </c:pt>
                <c:pt idx="2">
                  <c:v>900.00000000000023</c:v>
                </c:pt>
                <c:pt idx="3">
                  <c:v>700.00000000000023</c:v>
                </c:pt>
                <c:pt idx="4">
                  <c:v>580.00000000000011</c:v>
                </c:pt>
                <c:pt idx="5">
                  <c:v>500.00000000000011</c:v>
                </c:pt>
                <c:pt idx="6">
                  <c:v>442.85714285714295</c:v>
                </c:pt>
                <c:pt idx="7">
                  <c:v>400.00000000000011</c:v>
                </c:pt>
                <c:pt idx="8">
                  <c:v>366.66666666666674</c:v>
                </c:pt>
                <c:pt idx="9">
                  <c:v>340.00000000000006</c:v>
                </c:pt>
                <c:pt idx="10">
                  <c:v>318.18181818181824</c:v>
                </c:pt>
                <c:pt idx="11">
                  <c:v>300.00000000000006</c:v>
                </c:pt>
              </c:numCache>
            </c:numRef>
          </c:yVal>
          <c:smooth val="0"/>
        </c:ser>
        <c:dLbls>
          <c:showLegendKey val="0"/>
          <c:showVal val="0"/>
          <c:showCatName val="0"/>
          <c:showSerName val="0"/>
          <c:showPercent val="0"/>
          <c:showBubbleSize val="0"/>
        </c:dLbls>
        <c:axId val="1345332272"/>
        <c:axId val="1345321392"/>
      </c:scatterChart>
      <c:valAx>
        <c:axId val="13453322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de-DE" sz="1200" b="1"/>
                  <a:t>dura05</a:t>
                </a:r>
                <a:r>
                  <a:rPr lang="de-DE"/>
                  <a:t> (minutes)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de-DE"/>
            </a:p>
          </c:txPr>
        </c:title>
        <c:numFmt formatCode="General" sourceLinked="1"/>
        <c:majorTickMark val="out"/>
        <c:minorTickMark val="none"/>
        <c:tickLblPos val="nextTo"/>
        <c:spPr>
          <a:noFill/>
          <a:ln w="19050" cap="flat" cmpd="sng" algn="ctr">
            <a:solidFill>
              <a:srgbClr val="7030A0"/>
            </a:solidFill>
            <a:round/>
            <a:tailEnd type="triangle"/>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de-DE"/>
          </a:p>
        </c:txPr>
        <c:crossAx val="1345321392"/>
        <c:crossesAt val="50"/>
        <c:crossBetween val="midCat"/>
        <c:majorUnit val="5"/>
      </c:valAx>
      <c:valAx>
        <c:axId val="1345321392"/>
        <c:scaling>
          <c:orientation val="minMax"/>
          <c:max val="400"/>
          <c:min val="6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r>
                  <a:rPr lang="de-DE" sz="1200" b="1">
                    <a:solidFill>
                      <a:schemeClr val="accent1">
                        <a:lumMod val="75000"/>
                      </a:schemeClr>
                    </a:solidFill>
                  </a:rPr>
                  <a:t>avg05</a:t>
                </a:r>
                <a:r>
                  <a:rPr lang="de-DE">
                    <a:solidFill>
                      <a:schemeClr val="accent1">
                        <a:lumMod val="75000"/>
                      </a:schemeClr>
                    </a:solidFill>
                  </a:rPr>
                  <a:t> (mg/dl</a:t>
                </a:r>
                <a:r>
                  <a:rPr lang="de-DE"/>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7030A0"/>
                  </a:solidFill>
                  <a:latin typeface="+mn-lt"/>
                  <a:ea typeface="+mn-ea"/>
                  <a:cs typeface="+mn-cs"/>
                </a:defRPr>
              </a:pPr>
              <a:endParaRPr lang="de-DE"/>
            </a:p>
          </c:txPr>
        </c:title>
        <c:numFmt formatCode="0" sourceLinked="1"/>
        <c:majorTickMark val="out"/>
        <c:minorTickMark val="none"/>
        <c:tickLblPos val="nextTo"/>
        <c:spPr>
          <a:noFill/>
          <a:ln w="19050" cap="flat" cmpd="sng" algn="ctr">
            <a:solidFill>
              <a:schemeClr val="accent1">
                <a:lumMod val="7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75000"/>
                  </a:schemeClr>
                </a:solidFill>
                <a:latin typeface="+mn-lt"/>
                <a:ea typeface="+mn-ea"/>
                <a:cs typeface="+mn-cs"/>
              </a:defRPr>
            </a:pPr>
            <a:endParaRPr lang="de-DE"/>
          </a:p>
        </c:txPr>
        <c:crossAx val="1345332272"/>
        <c:crossesAt val="0"/>
        <c:crossBetween val="midCat"/>
        <c:majorUnit val="10"/>
      </c:valAx>
      <c:spPr>
        <a:noFill/>
        <a:ln>
          <a:noFill/>
        </a:ln>
        <a:effectLst/>
      </c:spPr>
    </c:plotArea>
    <c:legend>
      <c:legendPos val="b"/>
      <c:legendEntry>
        <c:idx val="0"/>
        <c:delete val="1"/>
      </c:legendEntry>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legendEntry>
        <c:idx val="14"/>
        <c:delete val="1"/>
      </c:legendEntry>
      <c:legendEntry>
        <c:idx val="15"/>
        <c:delete val="1"/>
      </c:legendEntry>
      <c:legendEntry>
        <c:idx val="16"/>
        <c:delete val="1"/>
      </c:legendEntry>
      <c:legendEntry>
        <c:idx val="17"/>
        <c:delete val="1"/>
      </c:legendEntry>
      <c:legendEntry>
        <c:idx val="33"/>
        <c:delete val="1"/>
      </c:legendEntry>
      <c:legendEntry>
        <c:idx val="34"/>
        <c:delete val="1"/>
      </c:legendEntry>
      <c:layout>
        <c:manualLayout>
          <c:xMode val="edge"/>
          <c:yMode val="edge"/>
          <c:x val="0.10714987348441211"/>
          <c:y val="0.92384831554648572"/>
          <c:w val="0.83355556845860967"/>
          <c:h val="5.9554924559231878E-2"/>
        </c:manualLayout>
      </c:layout>
      <c:overlay val="0"/>
      <c:spPr>
        <a:noFill/>
        <a:ln>
          <a:noFill/>
        </a:ln>
        <a:effectLst/>
      </c:spPr>
      <c:txPr>
        <a:bodyPr rot="0" spcFirstLastPara="1" vertOverflow="ellipsis" vert="horz" wrap="square" anchor="ctr" anchorCtr="1"/>
        <a:lstStyle/>
        <a:p>
          <a:pPr>
            <a:defRPr sz="1050" b="0" i="0" u="none" strike="noStrike" kern="1200" baseline="0">
              <a:solidFill>
                <a:srgbClr val="7030A0"/>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rgbClr val="7030A0"/>
          </a:solidFill>
        </a:defRPr>
      </a:pPr>
      <a:endParaRPr lang="de-DE"/>
    </a:p>
  </c:txPr>
  <c:printSettings>
    <c:headerFooter/>
    <c:pageMargins b="0.78740157499999996" l="0.7" r="0.7" t="0.78740157499999996"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838528313991506E-2"/>
          <c:y val="1.469927853315298E-2"/>
          <c:w val="0.88364380543626653"/>
          <c:h val="0.74818685015670727"/>
        </c:manualLayout>
      </c:layout>
      <c:lineChart>
        <c:grouping val="standard"/>
        <c:varyColors val="0"/>
        <c:ser>
          <c:idx val="2"/>
          <c:order val="0"/>
          <c:tx>
            <c:strRef>
              <c:f>'bg, dyn'!$C$7</c:f>
              <c:strCache>
                <c:ptCount val="1"/>
                <c:pt idx="0">
                  <c:v>ISF_old</c:v>
                </c:pt>
              </c:strCache>
            </c:strRef>
          </c:tx>
          <c:spPr>
            <a:ln w="19050" cap="rnd">
              <a:solidFill>
                <a:srgbClr val="F1800F"/>
              </a:solidFill>
              <a:round/>
            </a:ln>
            <a:effectLst/>
          </c:spPr>
          <c:marker>
            <c:symbol val="none"/>
          </c:marker>
          <c:cat>
            <c:numRef>
              <c:f>'bg, dyn'!$A$8:$A$77</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dyn'!$C$8:$C$77</c:f>
              <c:numCache>
                <c:formatCode>0.00</c:formatCode>
                <c:ptCount val="70"/>
                <c:pt idx="0">
                  <c:v>64</c:v>
                </c:pt>
                <c:pt idx="1">
                  <c:v>64</c:v>
                </c:pt>
                <c:pt idx="2">
                  <c:v>64</c:v>
                </c:pt>
                <c:pt idx="3">
                  <c:v>64</c:v>
                </c:pt>
                <c:pt idx="4">
                  <c:v>64</c:v>
                </c:pt>
                <c:pt idx="5">
                  <c:v>64</c:v>
                </c:pt>
                <c:pt idx="6">
                  <c:v>63.716814159292035</c:v>
                </c:pt>
                <c:pt idx="7">
                  <c:v>63.21334503950834</c:v>
                </c:pt>
                <c:pt idx="8">
                  <c:v>62.717770034843205</c:v>
                </c:pt>
                <c:pt idx="9">
                  <c:v>62.22990492653414</c:v>
                </c:pt>
                <c:pt idx="10">
                  <c:v>61.749571183533455</c:v>
                </c:pt>
                <c:pt idx="11">
                  <c:v>61.276595744680854</c:v>
                </c:pt>
                <c:pt idx="12">
                  <c:v>60.810810810810821</c:v>
                </c:pt>
                <c:pt idx="13">
                  <c:v>60.352053646269923</c:v>
                </c:pt>
                <c:pt idx="14">
                  <c:v>59.800664451827259</c:v>
                </c:pt>
                <c:pt idx="15">
                  <c:v>58.919803600654681</c:v>
                </c:pt>
                <c:pt idx="16">
                  <c:v>58.064516129032278</c:v>
                </c:pt>
                <c:pt idx="17">
                  <c:v>57.6</c:v>
                </c:pt>
                <c:pt idx="18">
                  <c:v>57.6</c:v>
                </c:pt>
                <c:pt idx="19">
                  <c:v>57.6</c:v>
                </c:pt>
                <c:pt idx="20">
                  <c:v>57.256461232604387</c:v>
                </c:pt>
                <c:pt idx="21">
                  <c:v>56.74876847290642</c:v>
                </c:pt>
                <c:pt idx="22">
                  <c:v>56.250000000000014</c:v>
                </c:pt>
                <c:pt idx="23">
                  <c:v>55.759922555663138</c:v>
                </c:pt>
                <c:pt idx="24">
                  <c:v>55.278310940499054</c:v>
                </c:pt>
                <c:pt idx="25">
                  <c:v>54.80494766888679</c:v>
                </c:pt>
                <c:pt idx="26">
                  <c:v>54.339622641509457</c:v>
                </c:pt>
                <c:pt idx="27">
                  <c:v>53.882132834424709</c:v>
                </c:pt>
                <c:pt idx="28">
                  <c:v>53.432282003710597</c:v>
                </c:pt>
                <c:pt idx="29">
                  <c:v>52.989880404783825</c:v>
                </c:pt>
                <c:pt idx="30">
                  <c:v>52.554744525547463</c:v>
                </c:pt>
                <c:pt idx="31">
                  <c:v>52.237001209189856</c:v>
                </c:pt>
                <c:pt idx="32">
                  <c:v>52.010594750782573</c:v>
                </c:pt>
                <c:pt idx="33">
                  <c:v>51.786142411891639</c:v>
                </c:pt>
                <c:pt idx="34">
                  <c:v>51.563619002148499</c:v>
                </c:pt>
                <c:pt idx="35">
                  <c:v>51.342999762300934</c:v>
                </c:pt>
                <c:pt idx="36">
                  <c:v>51.124260355029598</c:v>
                </c:pt>
                <c:pt idx="37">
                  <c:v>50.90737685599813</c:v>
                </c:pt>
                <c:pt idx="38">
                  <c:v>50.692325745130255</c:v>
                </c:pt>
                <c:pt idx="39">
                  <c:v>50.526315789473692</c:v>
                </c:pt>
                <c:pt idx="40">
                  <c:v>50.526315789473692</c:v>
                </c:pt>
                <c:pt idx="41">
                  <c:v>50.526315789473692</c:v>
                </c:pt>
                <c:pt idx="42">
                  <c:v>50.526315789473692</c:v>
                </c:pt>
                <c:pt idx="43">
                  <c:v>50.526315789473692</c:v>
                </c:pt>
                <c:pt idx="44">
                  <c:v>50.526315789473692</c:v>
                </c:pt>
                <c:pt idx="45">
                  <c:v>50.526315789473692</c:v>
                </c:pt>
                <c:pt idx="46">
                  <c:v>50.526315789473692</c:v>
                </c:pt>
                <c:pt idx="47">
                  <c:v>50.526315789473692</c:v>
                </c:pt>
                <c:pt idx="48">
                  <c:v>50.526315789473692</c:v>
                </c:pt>
                <c:pt idx="49">
                  <c:v>50.526315789473692</c:v>
                </c:pt>
                <c:pt idx="50">
                  <c:v>50.526315789473692</c:v>
                </c:pt>
                <c:pt idx="51">
                  <c:v>50.526315789473692</c:v>
                </c:pt>
                <c:pt idx="52">
                  <c:v>50.526315789473692</c:v>
                </c:pt>
                <c:pt idx="53">
                  <c:v>50.526315789473692</c:v>
                </c:pt>
                <c:pt idx="54">
                  <c:v>50.526315789473692</c:v>
                </c:pt>
                <c:pt idx="55">
                  <c:v>50.526315789473692</c:v>
                </c:pt>
                <c:pt idx="56">
                  <c:v>50.526315789473692</c:v>
                </c:pt>
                <c:pt idx="57">
                  <c:v>50.526315789473692</c:v>
                </c:pt>
                <c:pt idx="58">
                  <c:v>50.526315789473692</c:v>
                </c:pt>
                <c:pt idx="59">
                  <c:v>50.526315789473692</c:v>
                </c:pt>
                <c:pt idx="60">
                  <c:v>50.526315789473692</c:v>
                </c:pt>
                <c:pt idx="61">
                  <c:v>50.526315789473692</c:v>
                </c:pt>
                <c:pt idx="62">
                  <c:v>50.526315789473692</c:v>
                </c:pt>
                <c:pt idx="63">
                  <c:v>50.526315789473692</c:v>
                </c:pt>
                <c:pt idx="64">
                  <c:v>50.526315789473692</c:v>
                </c:pt>
                <c:pt idx="65">
                  <c:v>50.526315789473692</c:v>
                </c:pt>
                <c:pt idx="66">
                  <c:v>50.526315789473692</c:v>
                </c:pt>
                <c:pt idx="67">
                  <c:v>50.526315789473692</c:v>
                </c:pt>
                <c:pt idx="68">
                  <c:v>50.526315789473692</c:v>
                </c:pt>
                <c:pt idx="69">
                  <c:v>50.526315789473692</c:v>
                </c:pt>
              </c:numCache>
            </c:numRef>
          </c:val>
          <c:smooth val="0"/>
          <c:extLst xmlns:c16r2="http://schemas.microsoft.com/office/drawing/2015/06/chart">
            <c:ext xmlns:c16="http://schemas.microsoft.com/office/drawing/2014/chart" uri="{C3380CC4-5D6E-409C-BE32-E72D297353CC}">
              <c16:uniqueId val="{00000005-7A09-A244-AA42-6B3935AF291D}"/>
            </c:ext>
          </c:extLst>
        </c:ser>
        <c:ser>
          <c:idx val="3"/>
          <c:order val="1"/>
          <c:tx>
            <c:strRef>
              <c:f>'bg, dyn'!$F$7</c:f>
              <c:strCache>
                <c:ptCount val="1"/>
                <c:pt idx="0">
                  <c:v>ISF_new</c:v>
                </c:pt>
              </c:strCache>
            </c:strRef>
          </c:tx>
          <c:spPr>
            <a:ln w="19050" cap="rnd">
              <a:solidFill>
                <a:schemeClr val="accent4"/>
              </a:solidFill>
              <a:round/>
            </a:ln>
            <a:effectLst/>
          </c:spPr>
          <c:marker>
            <c:symbol val="none"/>
          </c:marker>
          <c:cat>
            <c:numRef>
              <c:f>'bg, dyn'!$A$8:$A$77</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dyn'!$F$8:$F$77</c:f>
              <c:numCache>
                <c:formatCode>0.00</c:formatCode>
                <c:ptCount val="70"/>
                <c:pt idx="0">
                  <c:v>72</c:v>
                </c:pt>
                <c:pt idx="1">
                  <c:v>72</c:v>
                </c:pt>
                <c:pt idx="2">
                  <c:v>72</c:v>
                </c:pt>
                <c:pt idx="3">
                  <c:v>72</c:v>
                </c:pt>
                <c:pt idx="4">
                  <c:v>72</c:v>
                </c:pt>
                <c:pt idx="5">
                  <c:v>72</c:v>
                </c:pt>
                <c:pt idx="6">
                  <c:v>71.287128712871294</c:v>
                </c:pt>
                <c:pt idx="7">
                  <c:v>70.038910505836583</c:v>
                </c:pt>
                <c:pt idx="8">
                  <c:v>68.833652007648183</c:v>
                </c:pt>
                <c:pt idx="9">
                  <c:v>67.669172932330838</c:v>
                </c:pt>
                <c:pt idx="10">
                  <c:v>66.543438077634022</c:v>
                </c:pt>
                <c:pt idx="11">
                  <c:v>65.454545454545467</c:v>
                </c:pt>
                <c:pt idx="12">
                  <c:v>64.400715563506282</c:v>
                </c:pt>
                <c:pt idx="13">
                  <c:v>63.380281690140862</c:v>
                </c:pt>
                <c:pt idx="14">
                  <c:v>62.176165803108844</c:v>
                </c:pt>
                <c:pt idx="15">
                  <c:v>60.301507537688479</c:v>
                </c:pt>
                <c:pt idx="16">
                  <c:v>58.536585365853703</c:v>
                </c:pt>
                <c:pt idx="17">
                  <c:v>57.6</c:v>
                </c:pt>
                <c:pt idx="18">
                  <c:v>57.6</c:v>
                </c:pt>
                <c:pt idx="19">
                  <c:v>57.6</c:v>
                </c:pt>
                <c:pt idx="20">
                  <c:v>56.581532416502988</c:v>
                </c:pt>
                <c:pt idx="21">
                  <c:v>55.119617224880422</c:v>
                </c:pt>
                <c:pt idx="22">
                  <c:v>53.73134328358212</c:v>
                </c:pt>
                <c:pt idx="23">
                  <c:v>52.411282984531425</c:v>
                </c:pt>
                <c:pt idx="24">
                  <c:v>51.154529307282452</c:v>
                </c:pt>
                <c:pt idx="25">
                  <c:v>49.95663486556812</c:v>
                </c:pt>
                <c:pt idx="26">
                  <c:v>48.813559322033939</c:v>
                </c:pt>
                <c:pt idx="27">
                  <c:v>47.721623860811967</c:v>
                </c:pt>
                <c:pt idx="28">
                  <c:v>46.677471636953037</c:v>
                </c:pt>
                <c:pt idx="29">
                  <c:v>45.678033306899323</c:v>
                </c:pt>
                <c:pt idx="30">
                  <c:v>44.720496894409976</c:v>
                </c:pt>
                <c:pt idx="31">
                  <c:v>44.036697247706442</c:v>
                </c:pt>
                <c:pt idx="32">
                  <c:v>43.557168784029059</c:v>
                </c:pt>
                <c:pt idx="33">
                  <c:v>43.087971274685842</c:v>
                </c:pt>
                <c:pt idx="34">
                  <c:v>42.628774422735361</c:v>
                </c:pt>
                <c:pt idx="35">
                  <c:v>42.179261862917414</c:v>
                </c:pt>
                <c:pt idx="36">
                  <c:v>41.739130434782624</c:v>
                </c:pt>
                <c:pt idx="37">
                  <c:v>41.308089500860603</c:v>
                </c:pt>
                <c:pt idx="38">
                  <c:v>40.88586030664397</c:v>
                </c:pt>
                <c:pt idx="39">
                  <c:v>40.563380281690144</c:v>
                </c:pt>
                <c:pt idx="40">
                  <c:v>40.563380281690144</c:v>
                </c:pt>
                <c:pt idx="41">
                  <c:v>40.563380281690144</c:v>
                </c:pt>
                <c:pt idx="42">
                  <c:v>40.563380281690144</c:v>
                </c:pt>
                <c:pt idx="43">
                  <c:v>40.563380281690144</c:v>
                </c:pt>
                <c:pt idx="44">
                  <c:v>40.563380281690144</c:v>
                </c:pt>
                <c:pt idx="45">
                  <c:v>40.563380281690144</c:v>
                </c:pt>
                <c:pt idx="46">
                  <c:v>40.563380281690144</c:v>
                </c:pt>
                <c:pt idx="47">
                  <c:v>40.563380281690144</c:v>
                </c:pt>
                <c:pt idx="48">
                  <c:v>40.563380281690144</c:v>
                </c:pt>
                <c:pt idx="49">
                  <c:v>40.563380281690144</c:v>
                </c:pt>
                <c:pt idx="50">
                  <c:v>40.563380281690144</c:v>
                </c:pt>
                <c:pt idx="51">
                  <c:v>40.563380281690144</c:v>
                </c:pt>
                <c:pt idx="52">
                  <c:v>40.563380281690144</c:v>
                </c:pt>
                <c:pt idx="53">
                  <c:v>40.563380281690144</c:v>
                </c:pt>
                <c:pt idx="54">
                  <c:v>40.563380281690144</c:v>
                </c:pt>
                <c:pt idx="55">
                  <c:v>40.563380281690144</c:v>
                </c:pt>
                <c:pt idx="56">
                  <c:v>40.563380281690144</c:v>
                </c:pt>
                <c:pt idx="57">
                  <c:v>40.563380281690144</c:v>
                </c:pt>
                <c:pt idx="58">
                  <c:v>40.563380281690144</c:v>
                </c:pt>
                <c:pt idx="59">
                  <c:v>40.563380281690144</c:v>
                </c:pt>
                <c:pt idx="60">
                  <c:v>40.563380281690144</c:v>
                </c:pt>
                <c:pt idx="61">
                  <c:v>40.563380281690144</c:v>
                </c:pt>
                <c:pt idx="62">
                  <c:v>40.563380281690144</c:v>
                </c:pt>
                <c:pt idx="63">
                  <c:v>40.563380281690144</c:v>
                </c:pt>
                <c:pt idx="64">
                  <c:v>40.563380281690144</c:v>
                </c:pt>
                <c:pt idx="65">
                  <c:v>40.563380281690144</c:v>
                </c:pt>
                <c:pt idx="66">
                  <c:v>40.563380281690144</c:v>
                </c:pt>
                <c:pt idx="67">
                  <c:v>40.563380281690144</c:v>
                </c:pt>
                <c:pt idx="68">
                  <c:v>40.563380281690144</c:v>
                </c:pt>
                <c:pt idx="69">
                  <c:v>40.563380281690144</c:v>
                </c:pt>
              </c:numCache>
            </c:numRef>
          </c:val>
          <c:smooth val="0"/>
          <c:extLst xmlns:c16r2="http://schemas.microsoft.com/office/drawing/2015/06/chart">
            <c:ext xmlns:c16="http://schemas.microsoft.com/office/drawing/2014/chart" uri="{C3380CC4-5D6E-409C-BE32-E72D297353CC}">
              <c16:uniqueId val="{00000006-7A09-A244-AA42-6B3935AF291D}"/>
            </c:ext>
          </c:extLst>
        </c:ser>
        <c:ser>
          <c:idx val="1"/>
          <c:order val="2"/>
          <c:tx>
            <c:strRef>
              <c:f>'bg, dyn'!$I$7</c:f>
              <c:strCache>
                <c:ptCount val="1"/>
                <c:pt idx="0">
                  <c:v>ISF_dyn_old</c:v>
                </c:pt>
              </c:strCache>
            </c:strRef>
          </c:tx>
          <c:spPr>
            <a:ln w="19050" cap="rnd">
              <a:solidFill>
                <a:srgbClr val="7030A0"/>
              </a:solidFill>
              <a:round/>
            </a:ln>
            <a:effectLst/>
          </c:spPr>
          <c:marker>
            <c:symbol val="none"/>
          </c:marker>
          <c:cat>
            <c:numRef>
              <c:f>'bg, dyn'!$A$8:$A$77</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dyn'!$I$8:$I$77</c:f>
              <c:numCache>
                <c:formatCode>0.00</c:formatCode>
                <c:ptCount val="70"/>
                <c:pt idx="0">
                  <c:v>128.74285889481422</c:v>
                </c:pt>
                <c:pt idx="1">
                  <c:v>122.02379961170745</c:v>
                </c:pt>
                <c:pt idx="2">
                  <c:v>116.12984271954372</c:v>
                </c:pt>
                <c:pt idx="3">
                  <c:v>110.91593452609025</c:v>
                </c:pt>
                <c:pt idx="4">
                  <c:v>106.26922115011097</c:v>
                </c:pt>
                <c:pt idx="5">
                  <c:v>102.10057782102928</c:v>
                </c:pt>
                <c:pt idx="6">
                  <c:v>98.338679073147631</c:v>
                </c:pt>
                <c:pt idx="7">
                  <c:v>94.925762910147981</c:v>
                </c:pt>
                <c:pt idx="8">
                  <c:v>91.814549982030002</c:v>
                </c:pt>
                <c:pt idx="9">
                  <c:v>88.965966275482316</c:v>
                </c:pt>
                <c:pt idx="10">
                  <c:v>86.347434981240426</c:v>
                </c:pt>
                <c:pt idx="11">
                  <c:v>83.931578186627064</c:v>
                </c:pt>
                <c:pt idx="12">
                  <c:v>81.695218070370842</c:v>
                </c:pt>
                <c:pt idx="13">
                  <c:v>79.618599963104145</c:v>
                </c:pt>
                <c:pt idx="14">
                  <c:v>77.68478181723232</c:v>
                </c:pt>
                <c:pt idx="15">
                  <c:v>75.879149926856414</c:v>
                </c:pt>
                <c:pt idx="16">
                  <c:v>74.189031446513596</c:v>
                </c:pt>
                <c:pt idx="17">
                  <c:v>72.603381856936451</c:v>
                </c:pt>
                <c:pt idx="18">
                  <c:v>71.112530988252544</c:v>
                </c:pt>
                <c:pt idx="19">
                  <c:v>69.707975183668751</c:v>
                </c:pt>
                <c:pt idx="20">
                  <c:v>68.382206107814511</c:v>
                </c:pt>
                <c:pt idx="21">
                  <c:v>67.128568873967495</c:v>
                </c:pt>
                <c:pt idx="22">
                  <c:v>65.941143791977794</c:v>
                </c:pt>
                <c:pt idx="23">
                  <c:v>64.814647270444013</c:v>
                </c:pt>
                <c:pt idx="24">
                  <c:v>63.744348346744104</c:v>
                </c:pt>
                <c:pt idx="25">
                  <c:v>62.725998041668831</c:v>
                </c:pt>
                <c:pt idx="26">
                  <c:v>61.75576929587168</c:v>
                </c:pt>
                <c:pt idx="27">
                  <c:v>60.830205682806607</c:v>
                </c:pt>
                <c:pt idx="28">
                  <c:v>59.946177436561463</c:v>
                </c:pt>
                <c:pt idx="29">
                  <c:v>59.10084360480213</c:v>
                </c:pt>
                <c:pt idx="30">
                  <c:v>58.291619353265872</c:v>
                </c:pt>
                <c:pt idx="31">
                  <c:v>57.516147621233159</c:v>
                </c:pt>
                <c:pt idx="32">
                  <c:v>56.772274466561171</c:v>
                </c:pt>
                <c:pt idx="33">
                  <c:v>56.058027551378174</c:v>
                </c:pt>
                <c:pt idx="34">
                  <c:v>55.371597310964212</c:v>
                </c:pt>
                <c:pt idx="35">
                  <c:v>54.711320422983732</c:v>
                </c:pt>
                <c:pt idx="36">
                  <c:v>54.07566525544506</c:v>
                </c:pt>
                <c:pt idx="37">
                  <c:v>53.463219022175188</c:v>
                </c:pt>
                <c:pt idx="38">
                  <c:v>52.872676416288741</c:v>
                </c:pt>
                <c:pt idx="39">
                  <c:v>52.302829526745924</c:v>
                </c:pt>
                <c:pt idx="40">
                  <c:v>51.752558871942554</c:v>
                </c:pt>
                <c:pt idx="41">
                  <c:v>51.220825408406206</c:v>
                </c:pt>
                <c:pt idx="42">
                  <c:v>50.706663392927162</c:v>
                </c:pt>
                <c:pt idx="43">
                  <c:v>50.209173993511733</c:v>
                </c:pt>
                <c:pt idx="44">
                  <c:v>49.727519558958363</c:v>
                </c:pt>
                <c:pt idx="45">
                  <c:v>49.260918469073673</c:v>
                </c:pt>
                <c:pt idx="46">
                  <c:v>48.808640497930035</c:v>
                </c:pt>
                <c:pt idx="47">
                  <c:v>48.370002631420732</c:v>
                </c:pt>
                <c:pt idx="48">
                  <c:v>47.944365287938496</c:v>
                </c:pt>
                <c:pt idx="49">
                  <c:v>47.531128897491946</c:v>
                </c:pt>
                <c:pt idx="50">
                  <c:v>47.129730800152842</c:v>
                </c:pt>
                <c:pt idx="51">
                  <c:v>46.739642429532061</c:v>
                </c:pt>
                <c:pt idx="52">
                  <c:v>46.360366751134379</c:v>
                </c:pt>
                <c:pt idx="53">
                  <c:v>45.99143592903539</c:v>
                </c:pt>
                <c:pt idx="54">
                  <c:v>45.632409197443572</c:v>
                </c:pt>
                <c:pt idx="55">
                  <c:v>45.282870916422603</c:v>
                </c:pt>
                <c:pt idx="56">
                  <c:v>44.942428793413548</c:v>
                </c:pt>
                <c:pt idx="57">
                  <c:v>44.610712254261124</c:v>
                </c:pt>
                <c:pt idx="58">
                  <c:v>44.287370949255674</c:v>
                </c:pt>
                <c:pt idx="59">
                  <c:v>43.972073381286791</c:v>
                </c:pt>
                <c:pt idx="60">
                  <c:v>43.664505644596503</c:v>
                </c:pt>
                <c:pt idx="61">
                  <c:v>43.364370263845899</c:v>
                </c:pt>
                <c:pt idx="62">
                  <c:v>43.07138512428854</c:v>
                </c:pt>
                <c:pt idx="63">
                  <c:v>42.785282484798934</c:v>
                </c:pt>
                <c:pt idx="64">
                  <c:v>42.505808066348465</c:v>
                </c:pt>
                <c:pt idx="65">
                  <c:v>42.232720209269665</c:v>
                </c:pt>
                <c:pt idx="66">
                  <c:v>41.965789093313518</c:v>
                </c:pt>
                <c:pt idx="67">
                  <c:v>41.704796015095724</c:v>
                </c:pt>
                <c:pt idx="68">
                  <c:v>41.449532718053106</c:v>
                </c:pt>
                <c:pt idx="69">
                  <c:v>41.199800770500595</c:v>
                </c:pt>
              </c:numCache>
            </c:numRef>
          </c:val>
          <c:smooth val="0"/>
          <c:extLst xmlns:c16r2="http://schemas.microsoft.com/office/drawing/2015/06/chart">
            <c:ext xmlns:c16="http://schemas.microsoft.com/office/drawing/2014/chart" uri="{C3380CC4-5D6E-409C-BE32-E72D297353CC}">
              <c16:uniqueId val="{00000007-7A09-A244-AA42-6B3935AF291D}"/>
            </c:ext>
          </c:extLst>
        </c:ser>
        <c:ser>
          <c:idx val="4"/>
          <c:order val="3"/>
          <c:tx>
            <c:strRef>
              <c:f>'bg, dyn'!$J$7</c:f>
              <c:strCache>
                <c:ptCount val="1"/>
                <c:pt idx="0">
                  <c:v>ISF_dyn_new</c:v>
                </c:pt>
              </c:strCache>
            </c:strRef>
          </c:tx>
          <c:spPr>
            <a:ln w="19050" cap="rnd">
              <a:solidFill>
                <a:schemeClr val="accent5"/>
              </a:solidFill>
              <a:round/>
            </a:ln>
            <a:effectLst/>
          </c:spPr>
          <c:marker>
            <c:symbol val="none"/>
          </c:marker>
          <c:cat>
            <c:numRef>
              <c:f>'bg, dyn'!$A$8:$A$77</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dyn'!$J$8:$J$77</c:f>
              <c:numCache>
                <c:formatCode>0.00</c:formatCode>
                <c:ptCount val="70"/>
                <c:pt idx="0">
                  <c:v>102.99428711585138</c:v>
                </c:pt>
                <c:pt idx="1">
                  <c:v>97.619039689365977</c:v>
                </c:pt>
                <c:pt idx="2">
                  <c:v>92.903874175634982</c:v>
                </c:pt>
                <c:pt idx="3">
                  <c:v>88.732747620872232</c:v>
                </c:pt>
                <c:pt idx="4">
                  <c:v>85.015376920088784</c:v>
                </c:pt>
                <c:pt idx="5">
                  <c:v>81.680462256823404</c:v>
                </c:pt>
                <c:pt idx="6">
                  <c:v>78.670943258518108</c:v>
                </c:pt>
                <c:pt idx="7">
                  <c:v>75.940610328118396</c:v>
                </c:pt>
                <c:pt idx="8">
                  <c:v>73.451639985623999</c:v>
                </c:pt>
                <c:pt idx="9">
                  <c:v>71.172773020385861</c:v>
                </c:pt>
                <c:pt idx="10">
                  <c:v>69.077947984992349</c:v>
                </c:pt>
                <c:pt idx="11">
                  <c:v>67.145262549301648</c:v>
                </c:pt>
                <c:pt idx="12">
                  <c:v>65.356174456296671</c:v>
                </c:pt>
                <c:pt idx="13">
                  <c:v>63.694879970483328</c:v>
                </c:pt>
                <c:pt idx="14">
                  <c:v>62.147825453785856</c:v>
                </c:pt>
                <c:pt idx="15">
                  <c:v>60.703319941485141</c:v>
                </c:pt>
                <c:pt idx="16">
                  <c:v>59.351225157210891</c:v>
                </c:pt>
                <c:pt idx="17">
                  <c:v>58.08270548554917</c:v>
                </c:pt>
                <c:pt idx="18">
                  <c:v>56.890024790602041</c:v>
                </c:pt>
                <c:pt idx="19">
                  <c:v>55.766380146935006</c:v>
                </c:pt>
                <c:pt idx="20">
                  <c:v>54.705764886251607</c:v>
                </c:pt>
                <c:pt idx="21">
                  <c:v>53.702855099174009</c:v>
                </c:pt>
                <c:pt idx="22">
                  <c:v>52.752915033582241</c:v>
                </c:pt>
                <c:pt idx="23">
                  <c:v>51.851717816355212</c:v>
                </c:pt>
                <c:pt idx="24">
                  <c:v>50.995478677395297</c:v>
                </c:pt>
                <c:pt idx="25">
                  <c:v>50.180798433335063</c:v>
                </c:pt>
                <c:pt idx="26">
                  <c:v>49.404615436697355</c:v>
                </c:pt>
                <c:pt idx="27">
                  <c:v>48.664164546245289</c:v>
                </c:pt>
                <c:pt idx="28">
                  <c:v>47.956941949249185</c:v>
                </c:pt>
                <c:pt idx="29">
                  <c:v>47.280674883841705</c:v>
                </c:pt>
                <c:pt idx="30">
                  <c:v>46.633295482612695</c:v>
                </c:pt>
                <c:pt idx="31">
                  <c:v>46.012918096986532</c:v>
                </c:pt>
                <c:pt idx="32">
                  <c:v>45.417819573248948</c:v>
                </c:pt>
                <c:pt idx="33">
                  <c:v>44.846422041102542</c:v>
                </c:pt>
                <c:pt idx="34">
                  <c:v>44.29727784877138</c:v>
                </c:pt>
                <c:pt idx="35">
                  <c:v>43.769056338386989</c:v>
                </c:pt>
                <c:pt idx="36">
                  <c:v>43.260532204356053</c:v>
                </c:pt>
                <c:pt idx="37">
                  <c:v>42.770575217740159</c:v>
                </c:pt>
                <c:pt idx="38">
                  <c:v>42.298141133030988</c:v>
                </c:pt>
                <c:pt idx="39">
                  <c:v>41.842263621396739</c:v>
                </c:pt>
                <c:pt idx="40">
                  <c:v>41.402047097554053</c:v>
                </c:pt>
                <c:pt idx="41">
                  <c:v>40.976660326724968</c:v>
                </c:pt>
                <c:pt idx="42">
                  <c:v>40.565330714341727</c:v>
                </c:pt>
                <c:pt idx="43">
                  <c:v>40.167339194809387</c:v>
                </c:pt>
                <c:pt idx="44">
                  <c:v>39.782015647166695</c:v>
                </c:pt>
                <c:pt idx="45">
                  <c:v>39.408734775258942</c:v>
                </c:pt>
                <c:pt idx="46">
                  <c:v>39.046912398344027</c:v>
                </c:pt>
                <c:pt idx="47">
                  <c:v>38.696002105136586</c:v>
                </c:pt>
                <c:pt idx="48">
                  <c:v>38.355492230350798</c:v>
                </c:pt>
                <c:pt idx="49">
                  <c:v>38.02490311799356</c:v>
                </c:pt>
                <c:pt idx="50">
                  <c:v>37.703784640122279</c:v>
                </c:pt>
                <c:pt idx="51">
                  <c:v>37.39171394362566</c:v>
                </c:pt>
                <c:pt idx="52">
                  <c:v>37.088293400907503</c:v>
                </c:pt>
                <c:pt idx="53">
                  <c:v>36.793148743228315</c:v>
                </c:pt>
                <c:pt idx="54">
                  <c:v>36.50592735795486</c:v>
                </c:pt>
                <c:pt idx="55">
                  <c:v>36.226296733138092</c:v>
                </c:pt>
                <c:pt idx="56">
                  <c:v>35.953943034730841</c:v>
                </c:pt>
                <c:pt idx="57">
                  <c:v>35.688569803408903</c:v>
                </c:pt>
                <c:pt idx="58">
                  <c:v>35.429896759404549</c:v>
                </c:pt>
                <c:pt idx="59">
                  <c:v>35.177658705029437</c:v>
                </c:pt>
                <c:pt idx="60">
                  <c:v>34.931604515677208</c:v>
                </c:pt>
                <c:pt idx="61">
                  <c:v>34.691496211076725</c:v>
                </c:pt>
                <c:pt idx="62">
                  <c:v>34.45710809943084</c:v>
                </c:pt>
                <c:pt idx="63">
                  <c:v>34.228225987839146</c:v>
                </c:pt>
                <c:pt idx="64">
                  <c:v>34.004646453078777</c:v>
                </c:pt>
                <c:pt idx="65">
                  <c:v>33.786176167415732</c:v>
                </c:pt>
                <c:pt idx="66">
                  <c:v>33.572631274650817</c:v>
                </c:pt>
                <c:pt idx="67">
                  <c:v>33.363836812076585</c:v>
                </c:pt>
                <c:pt idx="68">
                  <c:v>33.159626174442487</c:v>
                </c:pt>
                <c:pt idx="69">
                  <c:v>32.959840616400484</c:v>
                </c:pt>
              </c:numCache>
            </c:numRef>
          </c:val>
          <c:smooth val="0"/>
          <c:extLst xmlns:c16r2="http://schemas.microsoft.com/office/drawing/2015/06/chart">
            <c:ext xmlns:c16="http://schemas.microsoft.com/office/drawing/2014/chart" uri="{C3380CC4-5D6E-409C-BE32-E72D297353CC}">
              <c16:uniqueId val="{00000008-7A09-A244-AA42-6B3935AF291D}"/>
            </c:ext>
          </c:extLst>
        </c:ser>
        <c:ser>
          <c:idx val="0"/>
          <c:order val="4"/>
          <c:tx>
            <c:v>ISF_sigmoid</c:v>
          </c:tx>
          <c:spPr>
            <a:ln w="19050" cap="rnd">
              <a:solidFill>
                <a:srgbClr val="FF0000"/>
              </a:solidFill>
              <a:round/>
            </a:ln>
            <a:effectLst/>
          </c:spPr>
          <c:marker>
            <c:symbol val="none"/>
          </c:marker>
          <c:cat>
            <c:numRef>
              <c:f>'bg, dyn'!$A$8:$A$77</c:f>
              <c:numCache>
                <c:formatCode>0.0</c:formatCode>
                <c:ptCount val="70"/>
                <c:pt idx="0">
                  <c:v>50.4</c:v>
                </c:pt>
                <c:pt idx="1">
                  <c:v>54</c:v>
                </c:pt>
                <c:pt idx="2">
                  <c:v>57.6</c:v>
                </c:pt>
                <c:pt idx="3">
                  <c:v>61.2</c:v>
                </c:pt>
                <c:pt idx="4">
                  <c:v>64.8</c:v>
                </c:pt>
                <c:pt idx="5">
                  <c:v>68.399999999999991</c:v>
                </c:pt>
                <c:pt idx="6">
                  <c:v>71.999999999999986</c:v>
                </c:pt>
                <c:pt idx="7">
                  <c:v>75.59999999999998</c:v>
                </c:pt>
                <c:pt idx="8">
                  <c:v>79.199999999999974</c:v>
                </c:pt>
                <c:pt idx="9">
                  <c:v>82.799999999999969</c:v>
                </c:pt>
                <c:pt idx="10">
                  <c:v>86.399999999999963</c:v>
                </c:pt>
                <c:pt idx="11">
                  <c:v>89.999999999999957</c:v>
                </c:pt>
                <c:pt idx="12">
                  <c:v>93.599999999999952</c:v>
                </c:pt>
                <c:pt idx="13">
                  <c:v>97.199999999999946</c:v>
                </c:pt>
                <c:pt idx="14">
                  <c:v>100.79999999999994</c:v>
                </c:pt>
                <c:pt idx="15">
                  <c:v>104.39999999999993</c:v>
                </c:pt>
                <c:pt idx="16">
                  <c:v>107.99999999999993</c:v>
                </c:pt>
                <c:pt idx="17">
                  <c:v>111.59999999999992</c:v>
                </c:pt>
                <c:pt idx="18">
                  <c:v>115.19999999999992</c:v>
                </c:pt>
                <c:pt idx="19">
                  <c:v>118.79999999999991</c:v>
                </c:pt>
                <c:pt idx="20">
                  <c:v>122.39999999999991</c:v>
                </c:pt>
                <c:pt idx="21">
                  <c:v>125.9999999999999</c:v>
                </c:pt>
                <c:pt idx="22">
                  <c:v>129.59999999999991</c:v>
                </c:pt>
                <c:pt idx="23">
                  <c:v>133.1999999999999</c:v>
                </c:pt>
                <c:pt idx="24">
                  <c:v>136.7999999999999</c:v>
                </c:pt>
                <c:pt idx="25">
                  <c:v>140.39999999999989</c:v>
                </c:pt>
                <c:pt idx="26">
                  <c:v>143.99999999999989</c:v>
                </c:pt>
                <c:pt idx="27">
                  <c:v>147.59999999999988</c:v>
                </c:pt>
                <c:pt idx="28">
                  <c:v>151.19999999999987</c:v>
                </c:pt>
                <c:pt idx="29">
                  <c:v>154.79999999999987</c:v>
                </c:pt>
                <c:pt idx="30">
                  <c:v>158.39999999999986</c:v>
                </c:pt>
                <c:pt idx="31">
                  <c:v>161.99999999999986</c:v>
                </c:pt>
                <c:pt idx="32">
                  <c:v>165.59999999999985</c:v>
                </c:pt>
                <c:pt idx="33">
                  <c:v>169.19999999999985</c:v>
                </c:pt>
                <c:pt idx="34">
                  <c:v>172.79999999999984</c:v>
                </c:pt>
                <c:pt idx="35">
                  <c:v>176.39999999999984</c:v>
                </c:pt>
                <c:pt idx="36">
                  <c:v>179.99999999999983</c:v>
                </c:pt>
                <c:pt idx="37">
                  <c:v>183.59999999999982</c:v>
                </c:pt>
                <c:pt idx="38">
                  <c:v>187.19999999999982</c:v>
                </c:pt>
                <c:pt idx="39">
                  <c:v>190.79999999999981</c:v>
                </c:pt>
                <c:pt idx="40">
                  <c:v>194.39999999999981</c:v>
                </c:pt>
                <c:pt idx="41">
                  <c:v>197.9999999999998</c:v>
                </c:pt>
                <c:pt idx="42">
                  <c:v>201.5999999999998</c:v>
                </c:pt>
                <c:pt idx="43">
                  <c:v>205.19999999999979</c:v>
                </c:pt>
                <c:pt idx="44">
                  <c:v>208.79999999999978</c:v>
                </c:pt>
                <c:pt idx="45">
                  <c:v>212.39999999999978</c:v>
                </c:pt>
                <c:pt idx="46">
                  <c:v>215.99999999999977</c:v>
                </c:pt>
                <c:pt idx="47">
                  <c:v>219.59999999999977</c:v>
                </c:pt>
                <c:pt idx="48">
                  <c:v>223.19999999999976</c:v>
                </c:pt>
                <c:pt idx="49">
                  <c:v>226.79999999999976</c:v>
                </c:pt>
                <c:pt idx="50">
                  <c:v>230.39999999999975</c:v>
                </c:pt>
                <c:pt idx="51">
                  <c:v>233.99999999999974</c:v>
                </c:pt>
                <c:pt idx="52">
                  <c:v>237.59999999999974</c:v>
                </c:pt>
                <c:pt idx="53">
                  <c:v>241.19999999999973</c:v>
                </c:pt>
                <c:pt idx="54">
                  <c:v>244.79999999999973</c:v>
                </c:pt>
                <c:pt idx="55">
                  <c:v>248.39999999999972</c:v>
                </c:pt>
                <c:pt idx="56">
                  <c:v>251.99999999999972</c:v>
                </c:pt>
                <c:pt idx="57">
                  <c:v>255.59999999999971</c:v>
                </c:pt>
                <c:pt idx="58">
                  <c:v>259.1999999999997</c:v>
                </c:pt>
                <c:pt idx="59">
                  <c:v>262.79999999999973</c:v>
                </c:pt>
                <c:pt idx="60">
                  <c:v>266.39999999999975</c:v>
                </c:pt>
                <c:pt idx="61">
                  <c:v>269.99999999999977</c:v>
                </c:pt>
                <c:pt idx="62">
                  <c:v>273.5999999999998</c:v>
                </c:pt>
                <c:pt idx="63">
                  <c:v>277.19999999999982</c:v>
                </c:pt>
                <c:pt idx="64">
                  <c:v>280.79999999999984</c:v>
                </c:pt>
                <c:pt idx="65">
                  <c:v>284.39999999999986</c:v>
                </c:pt>
                <c:pt idx="66">
                  <c:v>287.99999999999989</c:v>
                </c:pt>
                <c:pt idx="67">
                  <c:v>291.59999999999991</c:v>
                </c:pt>
                <c:pt idx="68">
                  <c:v>295.19999999999993</c:v>
                </c:pt>
                <c:pt idx="69">
                  <c:v>298.79999999999995</c:v>
                </c:pt>
              </c:numCache>
            </c:numRef>
          </c:cat>
          <c:val>
            <c:numRef>
              <c:f>'bg, dyn'!$M$8:$M$77</c:f>
              <c:numCache>
                <c:formatCode>0.00</c:formatCode>
                <c:ptCount val="70"/>
                <c:pt idx="0">
                  <c:v>67.146085036421823</c:v>
                </c:pt>
                <c:pt idx="1">
                  <c:v>66.74732116259581</c:v>
                </c:pt>
                <c:pt idx="2">
                  <c:v>66.325506893098819</c:v>
                </c:pt>
                <c:pt idx="3">
                  <c:v>65.880875347428926</c:v>
                </c:pt>
                <c:pt idx="4">
                  <c:v>65.413925324158186</c:v>
                </c:pt>
                <c:pt idx="5">
                  <c:v>64.925440523593522</c:v>
                </c:pt>
                <c:pt idx="6">
                  <c:v>64.41650299598507</c:v>
                </c:pt>
                <c:pt idx="7">
                  <c:v>63.888499465355174</c:v>
                </c:pt>
                <c:pt idx="8">
                  <c:v>63.343119364127105</c:v>
                </c:pt>
                <c:pt idx="9">
                  <c:v>62.782343712397299</c:v>
                </c:pt>
                <c:pt idx="10">
                  <c:v>62.208424380858148</c:v>
                </c:pt>
                <c:pt idx="11">
                  <c:v>61.623853767914618</c:v>
                </c:pt>
                <c:pt idx="12">
                  <c:v>61.031325466492753</c:v>
                </c:pt>
                <c:pt idx="13">
                  <c:v>60.433687050937301</c:v>
                </c:pt>
                <c:pt idx="14">
                  <c:v>59.833886629595419</c:v>
                </c:pt>
                <c:pt idx="15">
                  <c:v>59.234915234291996</c:v>
                </c:pt>
                <c:pt idx="16">
                  <c:v>58.639747410393646</c:v>
                </c:pt>
                <c:pt idx="17">
                  <c:v>58.051282499550894</c:v>
                </c:pt>
                <c:pt idx="18">
                  <c:v>57.472289057645213</c:v>
                </c:pt>
                <c:pt idx="19">
                  <c:v>56.905354628317127</c:v>
                </c:pt>
                <c:pt idx="20">
                  <c:v>56.352842721485629</c:v>
                </c:pt>
                <c:pt idx="21">
                  <c:v>55.816858365111152</c:v>
                </c:pt>
                <c:pt idx="22">
                  <c:v>55.29922305497238</c:v>
                </c:pt>
                <c:pt idx="23">
                  <c:v>54.801459371974218</c:v>
                </c:pt>
                <c:pt idx="24">
                  <c:v>54.324785016353502</c:v>
                </c:pt>
                <c:pt idx="25">
                  <c:v>53.870115561163104</c:v>
                </c:pt>
                <c:pt idx="26">
                  <c:v>53.438074879591412</c:v>
                </c:pt>
                <c:pt idx="27">
                  <c:v>53.029011964811993</c:v>
                </c:pt>
                <c:pt idx="28">
                  <c:v>52.643022737536945</c:v>
                </c:pt>
                <c:pt idx="29">
                  <c:v>52.279975415453137</c:v>
                </c:pt>
                <c:pt idx="30">
                  <c:v>51.939538083290728</c:v>
                </c:pt>
                <c:pt idx="31">
                  <c:v>51.621207231540787</c:v>
                </c:pt>
                <c:pt idx="32">
                  <c:v>51.32433620398978</c:v>
                </c:pt>
                <c:pt idx="33">
                  <c:v>51.048162688854426</c:v>
                </c:pt>
                <c:pt idx="34">
                  <c:v>50.791834587941146</c:v>
                </c:pt>
                <c:pt idx="35">
                  <c:v>50.554433789303246</c:v>
                </c:pt>
                <c:pt idx="36">
                  <c:v>50.334997541731717</c:v>
                </c:pt>
                <c:pt idx="37">
                  <c:v>50.132537278265303</c:v>
                </c:pt>
                <c:pt idx="38">
                  <c:v>49.946054858112667</c:v>
                </c:pt>
                <c:pt idx="39">
                  <c:v>49.774556291826954</c:v>
                </c:pt>
                <c:pt idx="40">
                  <c:v>49.617063084924752</c:v>
                </c:pt>
                <c:pt idx="41">
                  <c:v>49.472621383200213</c:v>
                </c:pt>
                <c:pt idx="42">
                  <c:v>49.34030913213725</c:v>
                </c:pt>
                <c:pt idx="43">
                  <c:v>49.219241476623679</c:v>
                </c:pt>
                <c:pt idx="44">
                  <c:v>49.108574629045094</c:v>
                </c:pt>
                <c:pt idx="45">
                  <c:v>49.007508426885856</c:v>
                </c:pt>
                <c:pt idx="46">
                  <c:v>48.915287787872195</c:v>
                </c:pt>
                <c:pt idx="47">
                  <c:v>48.831203253678098</c:v>
                </c:pt>
                <c:pt idx="48">
                  <c:v>48.754590794050017</c:v>
                </c:pt>
                <c:pt idx="49">
                  <c:v>48.684831023247675</c:v>
                </c:pt>
                <c:pt idx="50">
                  <c:v>48.621347960941335</c:v>
                </c:pt>
                <c:pt idx="51">
                  <c:v>48.563607450844337</c:v>
                </c:pt>
                <c:pt idx="52">
                  <c:v>48.511115332843723</c:v>
                </c:pt>
                <c:pt idx="53">
                  <c:v>48.463415448479438</c:v>
                </c:pt>
                <c:pt idx="54">
                  <c:v>48.420087545429638</c:v>
                </c:pt>
                <c:pt idx="55">
                  <c:v>48.380745134198271</c:v>
                </c:pt>
                <c:pt idx="56">
                  <c:v>48.345033339409405</c:v>
                </c:pt>
                <c:pt idx="57">
                  <c:v>48.312626778884898</c:v>
                </c:pt>
                <c:pt idx="58">
                  <c:v>48.283227495882308</c:v>
                </c:pt>
                <c:pt idx="59">
                  <c:v>48.256562963352039</c:v>
                </c:pt>
                <c:pt idx="60">
                  <c:v>48.232384173685183</c:v>
                </c:pt>
                <c:pt idx="61">
                  <c:v>48.210463823021641</c:v>
                </c:pt>
                <c:pt idx="62">
                  <c:v>48.190594595632959</c:v>
                </c:pt>
                <c:pt idx="63">
                  <c:v>48.17258755106208</c:v>
                </c:pt>
                <c:pt idx="64">
                  <c:v>48.156270614477613</c:v>
                </c:pt>
                <c:pt idx="65">
                  <c:v>48.141487168984789</c:v>
                </c:pt>
                <c:pt idx="66">
                  <c:v>48.12809474734015</c:v>
                </c:pt>
                <c:pt idx="67">
                  <c:v>48.11596381956749</c:v>
                </c:pt>
                <c:pt idx="68">
                  <c:v>48.10497667230387</c:v>
                </c:pt>
                <c:pt idx="69">
                  <c:v>48.095026375260915</c:v>
                </c:pt>
              </c:numCache>
            </c:numRef>
          </c:val>
          <c:smooth val="0"/>
        </c:ser>
        <c:dLbls>
          <c:showLegendKey val="0"/>
          <c:showVal val="0"/>
          <c:showCatName val="0"/>
          <c:showSerName val="0"/>
          <c:showPercent val="0"/>
          <c:showBubbleSize val="0"/>
        </c:dLbls>
        <c:smooth val="0"/>
        <c:axId val="1345327376"/>
        <c:axId val="1345331184"/>
      </c:lineChart>
      <c:catAx>
        <c:axId val="13453273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800">
                    <a:solidFill>
                      <a:srgbClr val="FF0000"/>
                    </a:solidFill>
                  </a:rPr>
                  <a:t>bg</a:t>
                </a:r>
                <a:r>
                  <a:rPr lang="de-DE">
                    <a:solidFill>
                      <a:srgbClr val="FF0000"/>
                    </a:solidFill>
                  </a:rPr>
                  <a:t>  (mg/dl)</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 sourceLinked="1"/>
        <c:majorTickMark val="none"/>
        <c:minorTickMark val="none"/>
        <c:tickLblPos val="nextTo"/>
        <c:spPr>
          <a:noFill/>
          <a:ln w="19050" cap="flat" cmpd="sng" algn="ctr">
            <a:solidFill>
              <a:srgbClr val="FF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45331184"/>
        <c:crosses val="autoZero"/>
        <c:auto val="1"/>
        <c:lblAlgn val="ctr"/>
        <c:lblOffset val="100"/>
        <c:noMultiLvlLbl val="1"/>
      </c:catAx>
      <c:valAx>
        <c:axId val="13453311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sz="1800" b="1"/>
                  <a:t>ISF</a:t>
                </a:r>
                <a:r>
                  <a:rPr lang="de-DE"/>
                  <a:t>  (mg/dl/U)</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345327376"/>
        <c:crosses val="autoZero"/>
        <c:crossBetween val="between"/>
      </c:valAx>
      <c:spPr>
        <a:noFill/>
        <a:ln>
          <a:noFill/>
        </a:ln>
        <a:effectLst/>
      </c:spPr>
    </c:plotArea>
    <c:legend>
      <c:legendPos val="b"/>
      <c:layout>
        <c:manualLayout>
          <c:xMode val="edge"/>
          <c:yMode val="edge"/>
          <c:x val="6.0282475521408939E-2"/>
          <c:y val="0.84069327916698633"/>
          <c:w val="0.88998268614470777"/>
          <c:h val="2.8321253194850564E-2"/>
        </c:manualLayout>
      </c:layout>
      <c:overlay val="0"/>
      <c:spPr>
        <a:solidFill>
          <a:schemeClr val="bg1">
            <a:lumMod val="95000"/>
          </a:schemeClr>
        </a:solid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9</xdr:col>
      <xdr:colOff>171165</xdr:colOff>
      <xdr:row>5</xdr:row>
      <xdr:rowOff>3060</xdr:rowOff>
    </xdr:from>
    <xdr:ext cx="4832280" cy="4209480"/>
    <xdr:graphicFrame macro="">
      <xdr:nvGraphicFramePr>
        <xdr:cNvPr id="2" name="Diagramm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9</xdr:col>
      <xdr:colOff>219075</xdr:colOff>
      <xdr:row>26</xdr:row>
      <xdr:rowOff>9524</xdr:rowOff>
    </xdr:from>
    <xdr:to>
      <xdr:col>14</xdr:col>
      <xdr:colOff>619125</xdr:colOff>
      <xdr:row>28</xdr:row>
      <xdr:rowOff>114299</xdr:rowOff>
    </xdr:to>
    <xdr:sp macro="" textlink="">
      <xdr:nvSpPr>
        <xdr:cNvPr id="3" name="Textfeld 2"/>
        <xdr:cNvSpPr txBox="1"/>
      </xdr:nvSpPr>
      <xdr:spPr>
        <a:xfrm>
          <a:off x="7639050" y="4829174"/>
          <a:ext cx="4495800" cy="466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900">
              <a:solidFill>
                <a:srgbClr val="FF0000"/>
              </a:solidFill>
            </a:rPr>
            <a:t>   0</a:t>
          </a:r>
          <a:r>
            <a:rPr lang="de-DE" sz="900" baseline="0">
              <a:solidFill>
                <a:srgbClr val="FF0000"/>
              </a:solidFill>
            </a:rPr>
            <a:t>                       1                        2                         3                      4                           5                       6</a:t>
          </a:r>
          <a:r>
            <a:rPr lang="de-DE" sz="900" baseline="0"/>
            <a:t> </a:t>
          </a:r>
        </a:p>
        <a:p>
          <a:r>
            <a:rPr lang="de-DE" sz="1200" b="1" baseline="0">
              <a:solidFill>
                <a:srgbClr val="FF0000"/>
              </a:solidFill>
            </a:rPr>
            <a:t>                                                 iF </a:t>
          </a:r>
          <a:r>
            <a:rPr lang="de-DE" sz="1200" baseline="0"/>
            <a:t>~ Acceleration       </a:t>
          </a:r>
          <a:endParaRPr lang="de-DE" sz="12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0.76151</cdr:x>
      <cdr:y>0.64111</cdr:y>
    </cdr:from>
    <cdr:to>
      <cdr:x>0.8473</cdr:x>
      <cdr:y>0.71208</cdr:y>
    </cdr:to>
    <cdr:pic>
      <cdr:nvPicPr>
        <cdr:cNvPr id="2"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679825" y="2698750"/>
          <a:ext cx="414564" cy="298730"/>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oneCellAnchor>
    <xdr:from>
      <xdr:col>9</xdr:col>
      <xdr:colOff>133350</xdr:colOff>
      <xdr:row>3</xdr:row>
      <xdr:rowOff>38100</xdr:rowOff>
    </xdr:from>
    <xdr:ext cx="4908480" cy="4209480"/>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4.xml><?xml version="1.0" encoding="utf-8"?>
<c:userShapes xmlns:c="http://schemas.openxmlformats.org/drawingml/2006/chart">
  <cdr:relSizeAnchor xmlns:cdr="http://schemas.openxmlformats.org/drawingml/2006/chartDrawing">
    <cdr:from>
      <cdr:x>0.74322</cdr:x>
      <cdr:y>0.60415</cdr:y>
    </cdr:from>
    <cdr:to>
      <cdr:x>0.82768</cdr:x>
      <cdr:y>0.67512</cdr:y>
    </cdr:to>
    <cdr:pic>
      <cdr:nvPicPr>
        <cdr:cNvPr id="2"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648075" y="2543175"/>
          <a:ext cx="414564" cy="29873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oneCellAnchor>
    <xdr:from>
      <xdr:col>19</xdr:col>
      <xdr:colOff>57149</xdr:colOff>
      <xdr:row>44</xdr:row>
      <xdr:rowOff>76200</xdr:rowOff>
    </xdr:from>
    <xdr:ext cx="5305425" cy="4400550"/>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twoCellAnchor>
    <xdr:from>
      <xdr:col>10</xdr:col>
      <xdr:colOff>9525</xdr:colOff>
      <xdr:row>75</xdr:row>
      <xdr:rowOff>47626</xdr:rowOff>
    </xdr:from>
    <xdr:to>
      <xdr:col>10</xdr:col>
      <xdr:colOff>19050</xdr:colOff>
      <xdr:row>86</xdr:row>
      <xdr:rowOff>38100</xdr:rowOff>
    </xdr:to>
    <xdr:cxnSp macro="">
      <xdr:nvCxnSpPr>
        <xdr:cNvPr id="4" name="Gerade Verbindung mit Pfeil 3"/>
        <xdr:cNvCxnSpPr/>
      </xdr:nvCxnSpPr>
      <xdr:spPr>
        <a:xfrm flipV="1">
          <a:off x="7991475" y="13544551"/>
          <a:ext cx="9525" cy="19811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9525</xdr:colOff>
      <xdr:row>86</xdr:row>
      <xdr:rowOff>1</xdr:rowOff>
    </xdr:from>
    <xdr:to>
      <xdr:col>18</xdr:col>
      <xdr:colOff>400050</xdr:colOff>
      <xdr:row>86</xdr:row>
      <xdr:rowOff>9525</xdr:rowOff>
    </xdr:to>
    <xdr:cxnSp macro="">
      <xdr:nvCxnSpPr>
        <xdr:cNvPr id="6" name="Gerade Verbindung mit Pfeil 5"/>
        <xdr:cNvCxnSpPr/>
      </xdr:nvCxnSpPr>
      <xdr:spPr>
        <a:xfrm flipV="1">
          <a:off x="7991475" y="15487651"/>
          <a:ext cx="4810125" cy="9524"/>
        </a:xfrm>
        <a:prstGeom prst="straightConnector1">
          <a:avLst/>
        </a:prstGeom>
        <a:ln>
          <a:solidFill>
            <a:srgbClr val="7030A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514350</xdr:colOff>
      <xdr:row>76</xdr:row>
      <xdr:rowOff>47625</xdr:rowOff>
    </xdr:from>
    <xdr:to>
      <xdr:col>23</xdr:col>
      <xdr:colOff>314325</xdr:colOff>
      <xdr:row>85</xdr:row>
      <xdr:rowOff>133350</xdr:rowOff>
    </xdr:to>
    <xdr:sp macro="" textlink="">
      <xdr:nvSpPr>
        <xdr:cNvPr id="9" name="Geschweifte Klammer links/rechts 8"/>
        <xdr:cNvSpPr/>
      </xdr:nvSpPr>
      <xdr:spPr>
        <a:xfrm>
          <a:off x="11811000" y="13944600"/>
          <a:ext cx="4810125" cy="1762125"/>
        </a:xfrm>
        <a:prstGeom prst="bracePair">
          <a:avLst/>
        </a:prstGeom>
        <a:ln>
          <a:solidFill>
            <a:sysClr val="windowText" lastClr="000000"/>
          </a:solidFill>
          <a:prstDash val="sysDash"/>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24</xdr:col>
      <xdr:colOff>457200</xdr:colOff>
      <xdr:row>61</xdr:row>
      <xdr:rowOff>161925</xdr:rowOff>
    </xdr:from>
    <xdr:to>
      <xdr:col>25</xdr:col>
      <xdr:colOff>171450</xdr:colOff>
      <xdr:row>63</xdr:row>
      <xdr:rowOff>66675</xdr:rowOff>
    </xdr:to>
    <xdr:sp macro="" textlink="">
      <xdr:nvSpPr>
        <xdr:cNvPr id="3" name="Textfeld 2"/>
        <xdr:cNvSpPr txBox="1"/>
      </xdr:nvSpPr>
      <xdr:spPr>
        <a:xfrm>
          <a:off x="16849725" y="11210925"/>
          <a:ext cx="55245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solidFill>
                <a:srgbClr val="E40EB6"/>
              </a:solidFill>
            </a:rPr>
            <a:t>***)</a:t>
          </a:r>
        </a:p>
      </xdr:txBody>
    </xdr:sp>
    <xdr:clientData/>
  </xdr:twoCellAnchor>
  <xdr:twoCellAnchor>
    <xdr:from>
      <xdr:col>14</xdr:col>
      <xdr:colOff>142875</xdr:colOff>
      <xdr:row>85</xdr:row>
      <xdr:rowOff>66675</xdr:rowOff>
    </xdr:from>
    <xdr:to>
      <xdr:col>14</xdr:col>
      <xdr:colOff>238125</xdr:colOff>
      <xdr:row>85</xdr:row>
      <xdr:rowOff>133350</xdr:rowOff>
    </xdr:to>
    <xdr:sp macro="" textlink="">
      <xdr:nvSpPr>
        <xdr:cNvPr id="5" name="Ellipse 4"/>
        <xdr:cNvSpPr/>
      </xdr:nvSpPr>
      <xdr:spPr>
        <a:xfrm>
          <a:off x="10334625" y="155543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457200</xdr:colOff>
      <xdr:row>84</xdr:row>
      <xdr:rowOff>38100</xdr:rowOff>
    </xdr:from>
    <xdr:to>
      <xdr:col>13</xdr:col>
      <xdr:colOff>0</xdr:colOff>
      <xdr:row>84</xdr:row>
      <xdr:rowOff>104775</xdr:rowOff>
    </xdr:to>
    <xdr:sp macro="" textlink="">
      <xdr:nvSpPr>
        <xdr:cNvPr id="8" name="Ellipse 7"/>
        <xdr:cNvSpPr/>
      </xdr:nvSpPr>
      <xdr:spPr>
        <a:xfrm>
          <a:off x="9544050" y="1534477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9525</xdr:colOff>
      <xdr:row>83</xdr:row>
      <xdr:rowOff>57150</xdr:rowOff>
    </xdr:from>
    <xdr:to>
      <xdr:col>12</xdr:col>
      <xdr:colOff>104775</xdr:colOff>
      <xdr:row>83</xdr:row>
      <xdr:rowOff>123825</xdr:rowOff>
    </xdr:to>
    <xdr:sp macro="" textlink="">
      <xdr:nvSpPr>
        <xdr:cNvPr id="10" name="Ellipse 9"/>
        <xdr:cNvSpPr/>
      </xdr:nvSpPr>
      <xdr:spPr>
        <a:xfrm>
          <a:off x="9096375" y="1518285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361950</xdr:colOff>
      <xdr:row>82</xdr:row>
      <xdr:rowOff>57150</xdr:rowOff>
    </xdr:from>
    <xdr:to>
      <xdr:col>11</xdr:col>
      <xdr:colOff>457200</xdr:colOff>
      <xdr:row>82</xdr:row>
      <xdr:rowOff>123825</xdr:rowOff>
    </xdr:to>
    <xdr:sp macro="" textlink="">
      <xdr:nvSpPr>
        <xdr:cNvPr id="11" name="Ellipse 10"/>
        <xdr:cNvSpPr/>
      </xdr:nvSpPr>
      <xdr:spPr>
        <a:xfrm>
          <a:off x="8896350" y="1500187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142875</xdr:colOff>
      <xdr:row>81</xdr:row>
      <xdr:rowOff>66675</xdr:rowOff>
    </xdr:from>
    <xdr:to>
      <xdr:col>11</xdr:col>
      <xdr:colOff>238125</xdr:colOff>
      <xdr:row>81</xdr:row>
      <xdr:rowOff>133350</xdr:rowOff>
    </xdr:to>
    <xdr:sp macro="" textlink="">
      <xdr:nvSpPr>
        <xdr:cNvPr id="12" name="Ellipse 11"/>
        <xdr:cNvSpPr/>
      </xdr:nvSpPr>
      <xdr:spPr>
        <a:xfrm>
          <a:off x="8677275" y="148304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495300</xdr:colOff>
      <xdr:row>80</xdr:row>
      <xdr:rowOff>47625</xdr:rowOff>
    </xdr:from>
    <xdr:to>
      <xdr:col>11</xdr:col>
      <xdr:colOff>38100</xdr:colOff>
      <xdr:row>80</xdr:row>
      <xdr:rowOff>114300</xdr:rowOff>
    </xdr:to>
    <xdr:sp macro="" textlink="">
      <xdr:nvSpPr>
        <xdr:cNvPr id="13" name="Ellipse 12"/>
        <xdr:cNvSpPr/>
      </xdr:nvSpPr>
      <xdr:spPr>
        <a:xfrm>
          <a:off x="8477250" y="146304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390525</xdr:colOff>
      <xdr:row>79</xdr:row>
      <xdr:rowOff>38100</xdr:rowOff>
    </xdr:from>
    <xdr:to>
      <xdr:col>10</xdr:col>
      <xdr:colOff>485775</xdr:colOff>
      <xdr:row>79</xdr:row>
      <xdr:rowOff>104775</xdr:rowOff>
    </xdr:to>
    <xdr:sp macro="" textlink="">
      <xdr:nvSpPr>
        <xdr:cNvPr id="14" name="Ellipse 13"/>
        <xdr:cNvSpPr/>
      </xdr:nvSpPr>
      <xdr:spPr>
        <a:xfrm>
          <a:off x="8372475" y="144399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523875</xdr:colOff>
      <xdr:row>77</xdr:row>
      <xdr:rowOff>38100</xdr:rowOff>
    </xdr:from>
    <xdr:to>
      <xdr:col>17</xdr:col>
      <xdr:colOff>66675</xdr:colOff>
      <xdr:row>77</xdr:row>
      <xdr:rowOff>104775</xdr:rowOff>
    </xdr:to>
    <xdr:sp macro="" textlink="">
      <xdr:nvSpPr>
        <xdr:cNvPr id="15" name="Ellipse 14"/>
        <xdr:cNvSpPr/>
      </xdr:nvSpPr>
      <xdr:spPr>
        <a:xfrm>
          <a:off x="11820525" y="140970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142875</xdr:colOff>
      <xdr:row>85</xdr:row>
      <xdr:rowOff>57150</xdr:rowOff>
    </xdr:from>
    <xdr:to>
      <xdr:col>14</xdr:col>
      <xdr:colOff>238125</xdr:colOff>
      <xdr:row>85</xdr:row>
      <xdr:rowOff>123825</xdr:rowOff>
    </xdr:to>
    <xdr:sp macro="" textlink="">
      <xdr:nvSpPr>
        <xdr:cNvPr id="17" name="Ellipse 16"/>
        <xdr:cNvSpPr/>
      </xdr:nvSpPr>
      <xdr:spPr>
        <a:xfrm>
          <a:off x="10334625" y="1556385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457200</xdr:colOff>
      <xdr:row>84</xdr:row>
      <xdr:rowOff>28575</xdr:rowOff>
    </xdr:from>
    <xdr:to>
      <xdr:col>13</xdr:col>
      <xdr:colOff>0</xdr:colOff>
      <xdr:row>84</xdr:row>
      <xdr:rowOff>95250</xdr:rowOff>
    </xdr:to>
    <xdr:sp macro="" textlink="">
      <xdr:nvSpPr>
        <xdr:cNvPr id="18" name="Ellipse 17"/>
        <xdr:cNvSpPr/>
      </xdr:nvSpPr>
      <xdr:spPr>
        <a:xfrm>
          <a:off x="9544050" y="153543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9525</xdr:colOff>
      <xdr:row>83</xdr:row>
      <xdr:rowOff>47625</xdr:rowOff>
    </xdr:from>
    <xdr:to>
      <xdr:col>12</xdr:col>
      <xdr:colOff>104775</xdr:colOff>
      <xdr:row>83</xdr:row>
      <xdr:rowOff>114300</xdr:rowOff>
    </xdr:to>
    <xdr:sp macro="" textlink="">
      <xdr:nvSpPr>
        <xdr:cNvPr id="19" name="Ellipse 18"/>
        <xdr:cNvSpPr/>
      </xdr:nvSpPr>
      <xdr:spPr>
        <a:xfrm>
          <a:off x="9096375" y="1519237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361950</xdr:colOff>
      <xdr:row>82</xdr:row>
      <xdr:rowOff>47625</xdr:rowOff>
    </xdr:from>
    <xdr:to>
      <xdr:col>11</xdr:col>
      <xdr:colOff>457200</xdr:colOff>
      <xdr:row>82</xdr:row>
      <xdr:rowOff>114300</xdr:rowOff>
    </xdr:to>
    <xdr:sp macro="" textlink="">
      <xdr:nvSpPr>
        <xdr:cNvPr id="20" name="Ellipse 19"/>
        <xdr:cNvSpPr/>
      </xdr:nvSpPr>
      <xdr:spPr>
        <a:xfrm>
          <a:off x="8896350" y="150114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142875</xdr:colOff>
      <xdr:row>81</xdr:row>
      <xdr:rowOff>57150</xdr:rowOff>
    </xdr:from>
    <xdr:to>
      <xdr:col>11</xdr:col>
      <xdr:colOff>238125</xdr:colOff>
      <xdr:row>81</xdr:row>
      <xdr:rowOff>123825</xdr:rowOff>
    </xdr:to>
    <xdr:sp macro="" textlink="">
      <xdr:nvSpPr>
        <xdr:cNvPr id="21" name="Ellipse 20"/>
        <xdr:cNvSpPr/>
      </xdr:nvSpPr>
      <xdr:spPr>
        <a:xfrm>
          <a:off x="8677275" y="1483995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495300</xdr:colOff>
      <xdr:row>80</xdr:row>
      <xdr:rowOff>38100</xdr:rowOff>
    </xdr:from>
    <xdr:to>
      <xdr:col>11</xdr:col>
      <xdr:colOff>38100</xdr:colOff>
      <xdr:row>80</xdr:row>
      <xdr:rowOff>104775</xdr:rowOff>
    </xdr:to>
    <xdr:sp macro="" textlink="">
      <xdr:nvSpPr>
        <xdr:cNvPr id="22" name="Ellipse 21"/>
        <xdr:cNvSpPr/>
      </xdr:nvSpPr>
      <xdr:spPr>
        <a:xfrm>
          <a:off x="8477250" y="146399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390525</xdr:colOff>
      <xdr:row>79</xdr:row>
      <xdr:rowOff>28575</xdr:rowOff>
    </xdr:from>
    <xdr:to>
      <xdr:col>10</xdr:col>
      <xdr:colOff>485775</xdr:colOff>
      <xdr:row>79</xdr:row>
      <xdr:rowOff>95250</xdr:rowOff>
    </xdr:to>
    <xdr:sp macro="" textlink="">
      <xdr:nvSpPr>
        <xdr:cNvPr id="23" name="Ellipse 22"/>
        <xdr:cNvSpPr/>
      </xdr:nvSpPr>
      <xdr:spPr>
        <a:xfrm>
          <a:off x="8372475" y="144399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114300</xdr:colOff>
      <xdr:row>76</xdr:row>
      <xdr:rowOff>47625</xdr:rowOff>
    </xdr:from>
    <xdr:to>
      <xdr:col>16</xdr:col>
      <xdr:colOff>209550</xdr:colOff>
      <xdr:row>76</xdr:row>
      <xdr:rowOff>114300</xdr:rowOff>
    </xdr:to>
    <xdr:sp macro="" textlink="">
      <xdr:nvSpPr>
        <xdr:cNvPr id="24" name="Ellipse 23"/>
        <xdr:cNvSpPr/>
      </xdr:nvSpPr>
      <xdr:spPr>
        <a:xfrm>
          <a:off x="11410950" y="13916025"/>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17</xdr:col>
      <xdr:colOff>514350</xdr:colOff>
      <xdr:row>78</xdr:row>
      <xdr:rowOff>47625</xdr:rowOff>
    </xdr:from>
    <xdr:to>
      <xdr:col>18</xdr:col>
      <xdr:colOff>57150</xdr:colOff>
      <xdr:row>78</xdr:row>
      <xdr:rowOff>114300</xdr:rowOff>
    </xdr:to>
    <xdr:sp macro="" textlink="">
      <xdr:nvSpPr>
        <xdr:cNvPr id="25" name="Ellipse 24"/>
        <xdr:cNvSpPr/>
      </xdr:nvSpPr>
      <xdr:spPr>
        <a:xfrm>
          <a:off x="12363450" y="14287500"/>
          <a:ext cx="95250" cy="66675"/>
        </a:xfrm>
        <a:prstGeom prst="ellipse">
          <a:avLst/>
        </a:prstGeom>
        <a:solidFill>
          <a:srgbClr val="FF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a:t>v</a:t>
          </a:r>
        </a:p>
      </xdr:txBody>
    </xdr:sp>
    <xdr:clientData/>
  </xdr:twoCellAnchor>
  <xdr:twoCellAnchor>
    <xdr:from>
      <xdr:col>17</xdr:col>
      <xdr:colOff>9525</xdr:colOff>
      <xdr:row>83</xdr:row>
      <xdr:rowOff>47625</xdr:rowOff>
    </xdr:from>
    <xdr:to>
      <xdr:col>17</xdr:col>
      <xdr:colOff>104775</xdr:colOff>
      <xdr:row>83</xdr:row>
      <xdr:rowOff>114300</xdr:rowOff>
    </xdr:to>
    <xdr:sp macro="" textlink="">
      <xdr:nvSpPr>
        <xdr:cNvPr id="26" name="Ellipse 25"/>
        <xdr:cNvSpPr/>
      </xdr:nvSpPr>
      <xdr:spPr>
        <a:xfrm>
          <a:off x="11858625" y="1519237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171450</xdr:colOff>
      <xdr:row>81</xdr:row>
      <xdr:rowOff>38100</xdr:rowOff>
    </xdr:from>
    <xdr:to>
      <xdr:col>14</xdr:col>
      <xdr:colOff>266700</xdr:colOff>
      <xdr:row>81</xdr:row>
      <xdr:rowOff>104775</xdr:rowOff>
    </xdr:to>
    <xdr:sp macro="" textlink="">
      <xdr:nvSpPr>
        <xdr:cNvPr id="28" name="Ellipse 27"/>
        <xdr:cNvSpPr/>
      </xdr:nvSpPr>
      <xdr:spPr>
        <a:xfrm>
          <a:off x="10363200" y="14820900"/>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533400</xdr:colOff>
      <xdr:row>80</xdr:row>
      <xdr:rowOff>76200</xdr:rowOff>
    </xdr:from>
    <xdr:to>
      <xdr:col>14</xdr:col>
      <xdr:colOff>76200</xdr:colOff>
      <xdr:row>80</xdr:row>
      <xdr:rowOff>142875</xdr:rowOff>
    </xdr:to>
    <xdr:sp macro="" textlink="">
      <xdr:nvSpPr>
        <xdr:cNvPr id="29" name="Ellipse 28"/>
        <xdr:cNvSpPr/>
      </xdr:nvSpPr>
      <xdr:spPr>
        <a:xfrm>
          <a:off x="10172700" y="1467802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438150</xdr:colOff>
      <xdr:row>77</xdr:row>
      <xdr:rowOff>38100</xdr:rowOff>
    </xdr:from>
    <xdr:to>
      <xdr:col>12</xdr:col>
      <xdr:colOff>533400</xdr:colOff>
      <xdr:row>77</xdr:row>
      <xdr:rowOff>104775</xdr:rowOff>
    </xdr:to>
    <xdr:sp macro="" textlink="">
      <xdr:nvSpPr>
        <xdr:cNvPr id="31" name="Ellipse 30"/>
        <xdr:cNvSpPr/>
      </xdr:nvSpPr>
      <xdr:spPr>
        <a:xfrm>
          <a:off x="9525000" y="1408747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12</xdr:col>
      <xdr:colOff>257175</xdr:colOff>
      <xdr:row>76</xdr:row>
      <xdr:rowOff>47625</xdr:rowOff>
    </xdr:from>
    <xdr:to>
      <xdr:col>12</xdr:col>
      <xdr:colOff>352425</xdr:colOff>
      <xdr:row>76</xdr:row>
      <xdr:rowOff>114300</xdr:rowOff>
    </xdr:to>
    <xdr:sp macro="" textlink="">
      <xdr:nvSpPr>
        <xdr:cNvPr id="32" name="Ellipse 31"/>
        <xdr:cNvSpPr/>
      </xdr:nvSpPr>
      <xdr:spPr>
        <a:xfrm>
          <a:off x="9344025" y="13906500"/>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238125</xdr:colOff>
      <xdr:row>79</xdr:row>
      <xdr:rowOff>57150</xdr:rowOff>
    </xdr:from>
    <xdr:to>
      <xdr:col>13</xdr:col>
      <xdr:colOff>333375</xdr:colOff>
      <xdr:row>79</xdr:row>
      <xdr:rowOff>123825</xdr:rowOff>
    </xdr:to>
    <xdr:sp macro="" textlink="">
      <xdr:nvSpPr>
        <xdr:cNvPr id="33" name="Ellipse 32"/>
        <xdr:cNvSpPr/>
      </xdr:nvSpPr>
      <xdr:spPr>
        <a:xfrm>
          <a:off x="9877425" y="14468475"/>
          <a:ext cx="95250" cy="66675"/>
        </a:xfrm>
        <a:prstGeom prst="ellipse">
          <a:avLst/>
        </a:prstGeom>
        <a:solidFill>
          <a:srgbClr val="00B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11</xdr:col>
      <xdr:colOff>200025</xdr:colOff>
      <xdr:row>85</xdr:row>
      <xdr:rowOff>47625</xdr:rowOff>
    </xdr:from>
    <xdr:to>
      <xdr:col>11</xdr:col>
      <xdr:colOff>295275</xdr:colOff>
      <xdr:row>85</xdr:row>
      <xdr:rowOff>114300</xdr:rowOff>
    </xdr:to>
    <xdr:sp macro="" textlink="">
      <xdr:nvSpPr>
        <xdr:cNvPr id="34" name="Ellipse 33"/>
        <xdr:cNvSpPr/>
      </xdr:nvSpPr>
      <xdr:spPr>
        <a:xfrm>
          <a:off x="8734425" y="15554325"/>
          <a:ext cx="95250" cy="6667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100"/>
            <a:t>v</a:t>
          </a:r>
        </a:p>
      </xdr:txBody>
    </xdr:sp>
    <xdr:clientData/>
  </xdr:twoCellAnchor>
  <xdr:twoCellAnchor>
    <xdr:from>
      <xdr:col>15</xdr:col>
      <xdr:colOff>180975</xdr:colOff>
      <xdr:row>78</xdr:row>
      <xdr:rowOff>76200</xdr:rowOff>
    </xdr:from>
    <xdr:to>
      <xdr:col>15</xdr:col>
      <xdr:colOff>276225</xdr:colOff>
      <xdr:row>78</xdr:row>
      <xdr:rowOff>142875</xdr:rowOff>
    </xdr:to>
    <xdr:sp macro="" textlink="">
      <xdr:nvSpPr>
        <xdr:cNvPr id="38" name="Ellipse 37"/>
        <xdr:cNvSpPr/>
      </xdr:nvSpPr>
      <xdr:spPr>
        <a:xfrm>
          <a:off x="10925175" y="14316075"/>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466725</xdr:colOff>
      <xdr:row>84</xdr:row>
      <xdr:rowOff>47625</xdr:rowOff>
    </xdr:from>
    <xdr:to>
      <xdr:col>11</xdr:col>
      <xdr:colOff>9525</xdr:colOff>
      <xdr:row>84</xdr:row>
      <xdr:rowOff>114300</xdr:rowOff>
    </xdr:to>
    <xdr:sp macro="" textlink="">
      <xdr:nvSpPr>
        <xdr:cNvPr id="39" name="Ellipse 38"/>
        <xdr:cNvSpPr/>
      </xdr:nvSpPr>
      <xdr:spPr>
        <a:xfrm>
          <a:off x="8448675" y="15373350"/>
          <a:ext cx="95250" cy="6667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10</xdr:col>
      <xdr:colOff>247650</xdr:colOff>
      <xdr:row>83</xdr:row>
      <xdr:rowOff>57150</xdr:rowOff>
    </xdr:from>
    <xdr:to>
      <xdr:col>10</xdr:col>
      <xdr:colOff>342900</xdr:colOff>
      <xdr:row>83</xdr:row>
      <xdr:rowOff>123825</xdr:rowOff>
    </xdr:to>
    <xdr:sp macro="" textlink="">
      <xdr:nvSpPr>
        <xdr:cNvPr id="41" name="Ellipse 40"/>
        <xdr:cNvSpPr/>
      </xdr:nvSpPr>
      <xdr:spPr>
        <a:xfrm>
          <a:off x="8229600" y="15201900"/>
          <a:ext cx="95250" cy="66675"/>
        </a:xfrm>
        <a:prstGeom prst="ellipse">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18</xdr:col>
      <xdr:colOff>123825</xdr:colOff>
      <xdr:row>81</xdr:row>
      <xdr:rowOff>76200</xdr:rowOff>
    </xdr:from>
    <xdr:to>
      <xdr:col>18</xdr:col>
      <xdr:colOff>219075</xdr:colOff>
      <xdr:row>81</xdr:row>
      <xdr:rowOff>142875</xdr:rowOff>
    </xdr:to>
    <xdr:sp macro="" textlink="">
      <xdr:nvSpPr>
        <xdr:cNvPr id="53" name="Ellipse 52"/>
        <xdr:cNvSpPr/>
      </xdr:nvSpPr>
      <xdr:spPr>
        <a:xfrm>
          <a:off x="12525375" y="14868525"/>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16</xdr:col>
      <xdr:colOff>523875</xdr:colOff>
      <xdr:row>80</xdr:row>
      <xdr:rowOff>57150</xdr:rowOff>
    </xdr:from>
    <xdr:to>
      <xdr:col>17</xdr:col>
      <xdr:colOff>66675</xdr:colOff>
      <xdr:row>80</xdr:row>
      <xdr:rowOff>123825</xdr:rowOff>
    </xdr:to>
    <xdr:sp macro="" textlink="">
      <xdr:nvSpPr>
        <xdr:cNvPr id="54" name="Ellipse 53"/>
        <xdr:cNvSpPr/>
      </xdr:nvSpPr>
      <xdr:spPr>
        <a:xfrm>
          <a:off x="11820525" y="14668500"/>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14</xdr:col>
      <xdr:colOff>228600</xdr:colOff>
      <xdr:row>76</xdr:row>
      <xdr:rowOff>66675</xdr:rowOff>
    </xdr:from>
    <xdr:to>
      <xdr:col>14</xdr:col>
      <xdr:colOff>323850</xdr:colOff>
      <xdr:row>76</xdr:row>
      <xdr:rowOff>133350</xdr:rowOff>
    </xdr:to>
    <xdr:sp macro="" textlink="">
      <xdr:nvSpPr>
        <xdr:cNvPr id="55" name="Ellipse 54"/>
        <xdr:cNvSpPr/>
      </xdr:nvSpPr>
      <xdr:spPr>
        <a:xfrm>
          <a:off x="10420350" y="13935075"/>
          <a:ext cx="95250" cy="66675"/>
        </a:xfrm>
        <a:prstGeom prst="ellipse">
          <a:avLst/>
        </a:prstGeom>
        <a:solidFill>
          <a:srgbClr val="00B0F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13</xdr:col>
      <xdr:colOff>548513</xdr:colOff>
      <xdr:row>77</xdr:row>
      <xdr:rowOff>69294</xdr:rowOff>
    </xdr:from>
    <xdr:to>
      <xdr:col>20</xdr:col>
      <xdr:colOff>683795</xdr:colOff>
      <xdr:row>81</xdr:row>
      <xdr:rowOff>23799</xdr:rowOff>
    </xdr:to>
    <xdr:sp macro="" textlink="">
      <xdr:nvSpPr>
        <xdr:cNvPr id="62" name="Bogen 61"/>
        <xdr:cNvSpPr/>
      </xdr:nvSpPr>
      <xdr:spPr>
        <a:xfrm rot="11820665">
          <a:off x="10187813" y="14166294"/>
          <a:ext cx="4288182" cy="697455"/>
        </a:xfrm>
        <a:prstGeom prst="arc">
          <a:avLst>
            <a:gd name="adj1" fmla="val 13055875"/>
            <a:gd name="adj2" fmla="val 21587477"/>
          </a:avLst>
        </a:prstGeom>
        <a:ln w="19050">
          <a:solidFill>
            <a:srgbClr val="00B0F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10</xdr:col>
      <xdr:colOff>248044</xdr:colOff>
      <xdr:row>75</xdr:row>
      <xdr:rowOff>118643</xdr:rowOff>
    </xdr:from>
    <xdr:to>
      <xdr:col>17</xdr:col>
      <xdr:colOff>140008</xdr:colOff>
      <xdr:row>84</xdr:row>
      <xdr:rowOff>167277</xdr:rowOff>
    </xdr:to>
    <xdr:sp macro="" textlink="">
      <xdr:nvSpPr>
        <xdr:cNvPr id="63" name="Bogen 62"/>
        <xdr:cNvSpPr/>
      </xdr:nvSpPr>
      <xdr:spPr>
        <a:xfrm rot="11718256">
          <a:off x="8229994" y="13796543"/>
          <a:ext cx="3759114" cy="1715509"/>
        </a:xfrm>
        <a:prstGeom prst="arc">
          <a:avLst>
            <a:gd name="adj1" fmla="val 13055875"/>
            <a:gd name="adj2" fmla="val 21152587"/>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12</xdr:col>
      <xdr:colOff>192736</xdr:colOff>
      <xdr:row>72</xdr:row>
      <xdr:rowOff>180094</xdr:rowOff>
    </xdr:from>
    <xdr:to>
      <xdr:col>19</xdr:col>
      <xdr:colOff>258919</xdr:colOff>
      <xdr:row>82</xdr:row>
      <xdr:rowOff>141629</xdr:rowOff>
    </xdr:to>
    <xdr:sp macro="" textlink="">
      <xdr:nvSpPr>
        <xdr:cNvPr id="64" name="Bogen 63"/>
        <xdr:cNvSpPr/>
      </xdr:nvSpPr>
      <xdr:spPr>
        <a:xfrm rot="11950229">
          <a:off x="9279586" y="13305544"/>
          <a:ext cx="3933333" cy="1818910"/>
        </a:xfrm>
        <a:prstGeom prst="arc">
          <a:avLst>
            <a:gd name="adj1" fmla="val 13055875"/>
            <a:gd name="adj2" fmla="val 21152587"/>
          </a:avLst>
        </a:prstGeom>
        <a:ln w="19050">
          <a:solidFill>
            <a:srgbClr val="00B05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de-DE" sz="1100"/>
        </a:p>
      </xdr:txBody>
    </xdr:sp>
    <xdr:clientData/>
  </xdr:twoCellAnchor>
  <xdr:twoCellAnchor>
    <xdr:from>
      <xdr:col>10</xdr:col>
      <xdr:colOff>209550</xdr:colOff>
      <xdr:row>82</xdr:row>
      <xdr:rowOff>152400</xdr:rowOff>
    </xdr:from>
    <xdr:to>
      <xdr:col>11</xdr:col>
      <xdr:colOff>333375</xdr:colOff>
      <xdr:row>85</xdr:row>
      <xdr:rowOff>152400</xdr:rowOff>
    </xdr:to>
    <xdr:cxnSp macro="">
      <xdr:nvCxnSpPr>
        <xdr:cNvPr id="66" name="Gerader Verbinder 65"/>
        <xdr:cNvCxnSpPr/>
      </xdr:nvCxnSpPr>
      <xdr:spPr>
        <a:xfrm>
          <a:off x="8191500" y="15135225"/>
          <a:ext cx="676275" cy="542925"/>
        </a:xfrm>
        <a:prstGeom prst="line">
          <a:avLst/>
        </a:prstGeom>
        <a:ln w="28575">
          <a:solidFill>
            <a:schemeClr val="accent4">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66675</xdr:colOff>
      <xdr:row>75</xdr:row>
      <xdr:rowOff>180975</xdr:rowOff>
    </xdr:from>
    <xdr:to>
      <xdr:col>17</xdr:col>
      <xdr:colOff>528299</xdr:colOff>
      <xdr:row>78</xdr:row>
      <xdr:rowOff>104536</xdr:rowOff>
    </xdr:to>
    <xdr:cxnSp macro="">
      <xdr:nvCxnSpPr>
        <xdr:cNvPr id="67" name="Gerader Verbinder 66"/>
        <xdr:cNvCxnSpPr>
          <a:endCxn id="25" idx="3"/>
        </xdr:cNvCxnSpPr>
      </xdr:nvCxnSpPr>
      <xdr:spPr>
        <a:xfrm>
          <a:off x="11363325" y="13858875"/>
          <a:ext cx="1014074" cy="485536"/>
        </a:xfrm>
        <a:prstGeom prst="line">
          <a:avLst/>
        </a:prstGeom>
        <a:ln w="28575">
          <a:solidFill>
            <a:srgbClr val="E40EB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38100</xdr:colOff>
      <xdr:row>92</xdr:row>
      <xdr:rowOff>14286</xdr:rowOff>
    </xdr:from>
    <xdr:to>
      <xdr:col>23</xdr:col>
      <xdr:colOff>285750</xdr:colOff>
      <xdr:row>133</xdr:row>
      <xdr:rowOff>38100</xdr:rowOff>
    </xdr:to>
    <xdr:graphicFrame macro="">
      <xdr:nvGraphicFramePr>
        <xdr:cNvPr id="7" name="Diagramm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422412</xdr:colOff>
      <xdr:row>130</xdr:row>
      <xdr:rowOff>24847</xdr:rowOff>
    </xdr:from>
    <xdr:to>
      <xdr:col>22</xdr:col>
      <xdr:colOff>173935</xdr:colOff>
      <xdr:row>131</xdr:row>
      <xdr:rowOff>41413</xdr:rowOff>
    </xdr:to>
    <xdr:sp macro="" textlink="">
      <xdr:nvSpPr>
        <xdr:cNvPr id="16" name="Rechteck 15"/>
        <xdr:cNvSpPr/>
      </xdr:nvSpPr>
      <xdr:spPr>
        <a:xfrm>
          <a:off x="14328912" y="20781064"/>
          <a:ext cx="588066" cy="198784"/>
        </a:xfrm>
        <a:prstGeom prst="rect">
          <a:avLst/>
        </a:prstGeom>
        <a:solidFill>
          <a:srgbClr val="548235">
            <a:alpha val="10196"/>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0.0105</cdr:x>
      <cdr:y>0.01327</cdr:y>
    </cdr:from>
    <cdr:to>
      <cdr:x>0.17648</cdr:x>
      <cdr:y>0.05112</cdr:y>
    </cdr:to>
    <cdr:sp macro="" textlink="">
      <cdr:nvSpPr>
        <cdr:cNvPr id="2" name="Textfeld 1"/>
        <cdr:cNvSpPr txBox="1"/>
      </cdr:nvSpPr>
      <cdr:spPr>
        <a:xfrm xmlns:a="http://schemas.openxmlformats.org/drawingml/2006/main">
          <a:off x="61291" y="101671"/>
          <a:ext cx="969066" cy="2898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de-DE" sz="1100"/>
        </a:p>
      </cdr:txBody>
    </cdr:sp>
  </cdr:relSizeAnchor>
</c:userShapes>
</file>

<file path=xl/drawings/drawing7.xml><?xml version="1.0" encoding="utf-8"?>
<xdr:wsDr xmlns:xdr="http://schemas.openxmlformats.org/drawingml/2006/spreadsheetDrawing" xmlns:a="http://schemas.openxmlformats.org/drawingml/2006/main">
  <xdr:twoCellAnchor>
    <xdr:from>
      <xdr:col>14</xdr:col>
      <xdr:colOff>33778</xdr:colOff>
      <xdr:row>13</xdr:row>
      <xdr:rowOff>123824</xdr:rowOff>
    </xdr:from>
    <xdr:to>
      <xdr:col>22</xdr:col>
      <xdr:colOff>552450</xdr:colOff>
      <xdr:row>65</xdr:row>
      <xdr:rowOff>0</xdr:rowOff>
    </xdr:to>
    <xdr:graphicFrame macro="">
      <xdr:nvGraphicFramePr>
        <xdr:cNvPr id="2" name="Diagramm 1">
          <a:extLst>
            <a:ext uri="{FF2B5EF4-FFF2-40B4-BE49-F238E27FC236}">
              <a16:creationId xmlns="" xmlns:a16="http://schemas.microsoft.com/office/drawing/2014/main" id="{E78A62E7-9ECE-7957-96A6-48219A002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390525</xdr:colOff>
      <xdr:row>33</xdr:row>
      <xdr:rowOff>123826</xdr:rowOff>
    </xdr:from>
    <xdr:to>
      <xdr:col>16</xdr:col>
      <xdr:colOff>400050</xdr:colOff>
      <xdr:row>52</xdr:row>
      <xdr:rowOff>190500</xdr:rowOff>
    </xdr:to>
    <xdr:cxnSp macro="">
      <xdr:nvCxnSpPr>
        <xdr:cNvPr id="4" name="Gerader Verbinder 3"/>
        <xdr:cNvCxnSpPr/>
      </xdr:nvCxnSpPr>
      <xdr:spPr>
        <a:xfrm flipH="1" flipV="1">
          <a:off x="14925675" y="6734176"/>
          <a:ext cx="9525" cy="3867149"/>
        </a:xfrm>
        <a:prstGeom prst="line">
          <a:avLst/>
        </a:prstGeom>
        <a:ln w="28575">
          <a:solidFill>
            <a:schemeClr val="accent6">
              <a:lumMod val="75000"/>
            </a:schemeClr>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628650</xdr:colOff>
      <xdr:row>46</xdr:row>
      <xdr:rowOff>85725</xdr:rowOff>
    </xdr:from>
    <xdr:to>
      <xdr:col>17</xdr:col>
      <xdr:colOff>161925</xdr:colOff>
      <xdr:row>50</xdr:row>
      <xdr:rowOff>0</xdr:rowOff>
    </xdr:to>
    <xdr:sp macro="" textlink="">
      <xdr:nvSpPr>
        <xdr:cNvPr id="5" name="Textfeld 4"/>
        <xdr:cNvSpPr txBox="1"/>
      </xdr:nvSpPr>
      <xdr:spPr>
        <a:xfrm>
          <a:off x="14325600" y="9296400"/>
          <a:ext cx="1209675" cy="714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1100">
              <a:solidFill>
                <a:schemeClr val="accent6">
                  <a:lumMod val="75000"/>
                </a:schemeClr>
              </a:solidFill>
            </a:rPr>
            <a:t>bg_ISF profile_target              "dividing line"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4"/>
  <sheetViews>
    <sheetView tabSelected="1" workbookViewId="0">
      <selection activeCell="I33" sqref="I33"/>
    </sheetView>
  </sheetViews>
  <sheetFormatPr baseColWidth="10" defaultRowHeight="14.25" x14ac:dyDescent="0.2"/>
  <cols>
    <col min="1" max="1" width="17.75" customWidth="1"/>
    <col min="2" max="2" width="13.25" customWidth="1"/>
    <col min="3" max="3" width="8.375" customWidth="1"/>
    <col min="4" max="4" width="9.875" customWidth="1"/>
    <col min="5" max="5" width="12.5" customWidth="1"/>
    <col min="6" max="6" width="8.375" customWidth="1"/>
    <col min="7" max="7" width="10.75" customWidth="1"/>
    <col min="8" max="8" width="11.5" customWidth="1"/>
    <col min="9" max="9" width="5.75" customWidth="1"/>
    <col min="10" max="15" width="10.75" customWidth="1"/>
    <col min="16" max="16" width="3.25" customWidth="1"/>
    <col min="17" max="1023" width="10.75" customWidth="1"/>
  </cols>
  <sheetData>
    <row r="1" spans="1:35" ht="15" x14ac:dyDescent="0.25">
      <c r="A1" t="s">
        <v>22</v>
      </c>
      <c r="B1" s="13">
        <v>40</v>
      </c>
      <c r="C1" s="174" t="s">
        <v>213</v>
      </c>
      <c r="D1" s="175" t="s">
        <v>15</v>
      </c>
      <c r="E1" s="87"/>
      <c r="F1" s="87"/>
      <c r="G1" s="87"/>
      <c r="H1" s="206"/>
      <c r="L1" s="84" t="s">
        <v>51</v>
      </c>
      <c r="M1" s="83"/>
      <c r="N1" s="83" t="s">
        <v>50</v>
      </c>
      <c r="Q1" s="29" t="s">
        <v>104</v>
      </c>
      <c r="S1" t="s">
        <v>98</v>
      </c>
    </row>
    <row r="2" spans="1:35" ht="15" x14ac:dyDescent="0.25">
      <c r="A2" s="71" t="s">
        <v>25</v>
      </c>
      <c r="B2" s="69">
        <v>1</v>
      </c>
      <c r="D2" s="29" t="s">
        <v>129</v>
      </c>
      <c r="H2" s="164"/>
      <c r="J2" s="2"/>
      <c r="K2" s="91" t="s">
        <v>0</v>
      </c>
      <c r="L2" s="92">
        <f>E3</f>
        <v>0.1</v>
      </c>
      <c r="M2" s="2" t="s">
        <v>49</v>
      </c>
      <c r="N2" s="93">
        <f>B3</f>
        <v>0.2</v>
      </c>
      <c r="O2" s="2"/>
      <c r="Q2" t="s">
        <v>85</v>
      </c>
    </row>
    <row r="3" spans="1:35" ht="15.75" thickBot="1" x14ac:dyDescent="0.3">
      <c r="A3" s="44" t="s">
        <v>0</v>
      </c>
      <c r="B3" s="165">
        <v>0.2</v>
      </c>
      <c r="C3" s="3"/>
      <c r="D3" s="3"/>
      <c r="E3" s="165">
        <v>0.1</v>
      </c>
      <c r="F3" s="3"/>
      <c r="G3" s="3"/>
      <c r="H3" s="164" t="s">
        <v>7</v>
      </c>
      <c r="I3" s="81" t="s">
        <v>47</v>
      </c>
      <c r="J3" s="2" t="s">
        <v>59</v>
      </c>
      <c r="K3" s="2"/>
      <c r="L3" s="2"/>
      <c r="M3" s="2"/>
      <c r="N3" s="2"/>
      <c r="O3" s="2"/>
    </row>
    <row r="4" spans="1:35" s="1" customFormat="1" ht="16.5" thickTop="1" thickBot="1" x14ac:dyDescent="0.3">
      <c r="A4" s="68" t="s">
        <v>11</v>
      </c>
      <c r="B4" s="5" t="s">
        <v>1</v>
      </c>
      <c r="C4" s="4" t="s">
        <v>2</v>
      </c>
      <c r="D4" s="6" t="s">
        <v>3</v>
      </c>
      <c r="E4" s="4" t="s">
        <v>4</v>
      </c>
      <c r="F4" s="4" t="s">
        <v>5</v>
      </c>
      <c r="G4" s="4" t="s">
        <v>6</v>
      </c>
      <c r="H4" s="75" t="s">
        <v>35</v>
      </c>
      <c r="I4" s="207" t="s">
        <v>48</v>
      </c>
      <c r="J4" t="s">
        <v>46</v>
      </c>
      <c r="K4"/>
      <c r="L4"/>
      <c r="M4"/>
      <c r="N4"/>
      <c r="O4" t="s">
        <v>54</v>
      </c>
      <c r="Q4" s="29" t="s">
        <v>137</v>
      </c>
      <c r="R4"/>
      <c r="S4"/>
      <c r="T4"/>
      <c r="U4"/>
      <c r="V4" t="s">
        <v>73</v>
      </c>
      <c r="W4"/>
      <c r="AA4"/>
      <c r="AB4"/>
      <c r="AC4"/>
      <c r="AD4"/>
      <c r="AE4"/>
      <c r="AF4" t="s">
        <v>73</v>
      </c>
      <c r="AG4"/>
    </row>
    <row r="5" spans="1:35" x14ac:dyDescent="0.2">
      <c r="A5" s="27">
        <v>0</v>
      </c>
      <c r="B5" s="7">
        <f t="shared" ref="B5:B30" si="0">1+$A5*B$3</f>
        <v>1</v>
      </c>
      <c r="C5" s="8">
        <f t="shared" ref="C5:C30" si="1">$B$1/B5</f>
        <v>40</v>
      </c>
      <c r="D5" s="47">
        <f t="shared" ref="D5:D30" si="2">+$B$2*$B$1/C5</f>
        <v>1</v>
      </c>
      <c r="E5" s="11">
        <f t="shared" ref="E5:E30" si="3">1+$A5*E$3</f>
        <v>1</v>
      </c>
      <c r="F5" s="11">
        <f t="shared" ref="F5:F30" si="4">$B$1/E5</f>
        <v>40</v>
      </c>
      <c r="G5" s="70">
        <f t="shared" ref="G5:G30" si="5">+$B$2*$B$1/F5</f>
        <v>1</v>
      </c>
      <c r="H5" s="17">
        <v>0</v>
      </c>
      <c r="I5" s="82">
        <v>0</v>
      </c>
      <c r="Q5" t="s">
        <v>128</v>
      </c>
    </row>
    <row r="6" spans="1:35" x14ac:dyDescent="0.2">
      <c r="A6" s="27">
        <f t="shared" ref="A6:A30" si="6">+A5+0.2</f>
        <v>0.2</v>
      </c>
      <c r="B6" s="7">
        <f t="shared" si="0"/>
        <v>1.04</v>
      </c>
      <c r="C6" s="10">
        <f t="shared" si="1"/>
        <v>38.46153846153846</v>
      </c>
      <c r="D6" s="9">
        <f t="shared" si="2"/>
        <v>1.04</v>
      </c>
      <c r="E6" s="11">
        <f t="shared" si="3"/>
        <v>1.02</v>
      </c>
      <c r="F6" s="12">
        <f t="shared" si="4"/>
        <v>39.215686274509807</v>
      </c>
      <c r="G6" s="11">
        <f t="shared" si="5"/>
        <v>1.02</v>
      </c>
      <c r="H6" s="17">
        <f t="shared" ref="H6:H21" si="7">G6/D6-1</f>
        <v>-1.9230769230769273E-2</v>
      </c>
      <c r="I6" s="82">
        <f>A6*5</f>
        <v>1</v>
      </c>
      <c r="Q6" t="s">
        <v>86</v>
      </c>
    </row>
    <row r="7" spans="1:35" x14ac:dyDescent="0.2">
      <c r="A7" s="27">
        <f t="shared" si="6"/>
        <v>0.4</v>
      </c>
      <c r="B7" s="7">
        <f t="shared" si="0"/>
        <v>1.08</v>
      </c>
      <c r="C7" s="10">
        <f t="shared" si="1"/>
        <v>37.037037037037038</v>
      </c>
      <c r="D7" s="9">
        <f t="shared" si="2"/>
        <v>1.08</v>
      </c>
      <c r="E7" s="11">
        <f t="shared" si="3"/>
        <v>1.04</v>
      </c>
      <c r="F7" s="12">
        <f t="shared" si="4"/>
        <v>38.46153846153846</v>
      </c>
      <c r="G7" s="11">
        <f t="shared" si="5"/>
        <v>1.04</v>
      </c>
      <c r="H7" s="17">
        <f t="shared" si="7"/>
        <v>-3.703703703703709E-2</v>
      </c>
      <c r="I7" s="82">
        <f t="shared" ref="I7:I30" si="8">A7*5</f>
        <v>2</v>
      </c>
      <c r="Q7" t="s">
        <v>135</v>
      </c>
    </row>
    <row r="8" spans="1:35" x14ac:dyDescent="0.2">
      <c r="A8" s="27">
        <f t="shared" si="6"/>
        <v>0.60000000000000009</v>
      </c>
      <c r="B8" s="7">
        <f t="shared" si="0"/>
        <v>1.1200000000000001</v>
      </c>
      <c r="C8" s="10">
        <f t="shared" si="1"/>
        <v>35.714285714285708</v>
      </c>
      <c r="D8" s="9">
        <f t="shared" si="2"/>
        <v>1.1200000000000001</v>
      </c>
      <c r="E8" s="11">
        <f t="shared" si="3"/>
        <v>1.06</v>
      </c>
      <c r="F8" s="12">
        <f t="shared" si="4"/>
        <v>37.735849056603769</v>
      </c>
      <c r="G8" s="11">
        <f t="shared" si="5"/>
        <v>1.06</v>
      </c>
      <c r="H8" s="17">
        <f t="shared" si="7"/>
        <v>-5.3571428571428603E-2</v>
      </c>
      <c r="I8" s="82">
        <f t="shared" si="8"/>
        <v>3.0000000000000004</v>
      </c>
      <c r="Q8" t="s">
        <v>136</v>
      </c>
    </row>
    <row r="9" spans="1:35" x14ac:dyDescent="0.2">
      <c r="A9" s="27">
        <f t="shared" si="6"/>
        <v>0.8</v>
      </c>
      <c r="B9" s="7">
        <f t="shared" si="0"/>
        <v>1.1600000000000001</v>
      </c>
      <c r="C9" s="10">
        <f t="shared" si="1"/>
        <v>34.482758620689651</v>
      </c>
      <c r="D9" s="9">
        <f t="shared" si="2"/>
        <v>1.1600000000000001</v>
      </c>
      <c r="E9" s="11">
        <f t="shared" si="3"/>
        <v>1.08</v>
      </c>
      <c r="F9" s="12">
        <f t="shared" si="4"/>
        <v>37.037037037037038</v>
      </c>
      <c r="G9" s="11">
        <f t="shared" si="5"/>
        <v>1.08</v>
      </c>
      <c r="H9" s="17">
        <f t="shared" si="7"/>
        <v>-6.8965517241379337E-2</v>
      </c>
      <c r="I9" s="82">
        <f t="shared" si="8"/>
        <v>4</v>
      </c>
      <c r="Q9" t="s">
        <v>142</v>
      </c>
    </row>
    <row r="10" spans="1:35" ht="15" x14ac:dyDescent="0.25">
      <c r="A10" s="27">
        <f t="shared" si="6"/>
        <v>1</v>
      </c>
      <c r="B10" s="7">
        <f t="shared" si="0"/>
        <v>1.2</v>
      </c>
      <c r="C10" s="10">
        <f t="shared" si="1"/>
        <v>33.333333333333336</v>
      </c>
      <c r="D10" s="9">
        <f t="shared" si="2"/>
        <v>1.2</v>
      </c>
      <c r="E10" s="11">
        <f t="shared" si="3"/>
        <v>1.1000000000000001</v>
      </c>
      <c r="F10" s="12">
        <f t="shared" si="4"/>
        <v>36.36363636363636</v>
      </c>
      <c r="G10" s="11">
        <f t="shared" si="5"/>
        <v>1.1000000000000001</v>
      </c>
      <c r="H10" s="17">
        <f t="shared" si="7"/>
        <v>-8.3333333333333259E-2</v>
      </c>
      <c r="I10" s="82">
        <f t="shared" si="8"/>
        <v>5</v>
      </c>
      <c r="Q10" t="s">
        <v>141</v>
      </c>
    </row>
    <row r="11" spans="1:35" x14ac:dyDescent="0.2">
      <c r="A11" s="27">
        <f t="shared" si="6"/>
        <v>1.2</v>
      </c>
      <c r="B11" s="7">
        <f t="shared" si="0"/>
        <v>1.24</v>
      </c>
      <c r="C11" s="10">
        <f t="shared" si="1"/>
        <v>32.258064516129032</v>
      </c>
      <c r="D11" s="9">
        <f t="shared" si="2"/>
        <v>1.24</v>
      </c>
      <c r="E11" s="11">
        <f t="shared" si="3"/>
        <v>1.1200000000000001</v>
      </c>
      <c r="F11" s="12">
        <f t="shared" si="4"/>
        <v>35.714285714285708</v>
      </c>
      <c r="G11" s="11">
        <f t="shared" si="5"/>
        <v>1.1200000000000001</v>
      </c>
      <c r="H11" s="17">
        <f t="shared" si="7"/>
        <v>-9.6774193548387011E-2</v>
      </c>
      <c r="I11" s="82">
        <f t="shared" si="8"/>
        <v>6</v>
      </c>
      <c r="Q11" t="s">
        <v>143</v>
      </c>
    </row>
    <row r="12" spans="1:35" x14ac:dyDescent="0.2">
      <c r="A12" s="27">
        <f t="shared" si="6"/>
        <v>1.4</v>
      </c>
      <c r="B12" s="7">
        <f t="shared" si="0"/>
        <v>1.28</v>
      </c>
      <c r="C12" s="10">
        <f t="shared" si="1"/>
        <v>31.25</v>
      </c>
      <c r="D12" s="9">
        <f t="shared" si="2"/>
        <v>1.28</v>
      </c>
      <c r="E12" s="11">
        <f t="shared" si="3"/>
        <v>1.1399999999999999</v>
      </c>
      <c r="F12" s="12">
        <f t="shared" si="4"/>
        <v>35.087719298245617</v>
      </c>
      <c r="G12" s="11">
        <f t="shared" si="5"/>
        <v>1.1399999999999999</v>
      </c>
      <c r="H12" s="17">
        <f t="shared" si="7"/>
        <v>-0.10937500000000011</v>
      </c>
      <c r="I12" s="82">
        <f t="shared" si="8"/>
        <v>7</v>
      </c>
      <c r="Q12" t="s">
        <v>106</v>
      </c>
    </row>
    <row r="13" spans="1:35" x14ac:dyDescent="0.2">
      <c r="A13" s="50">
        <f t="shared" si="6"/>
        <v>1.5999999999999999</v>
      </c>
      <c r="B13" s="7">
        <f t="shared" si="0"/>
        <v>1.32</v>
      </c>
      <c r="C13" s="14">
        <f t="shared" si="1"/>
        <v>30.303030303030301</v>
      </c>
      <c r="D13" s="20">
        <f t="shared" si="2"/>
        <v>1.32</v>
      </c>
      <c r="E13" s="21">
        <f t="shared" si="3"/>
        <v>1.1599999999999999</v>
      </c>
      <c r="F13" s="15">
        <f t="shared" si="4"/>
        <v>34.482758620689658</v>
      </c>
      <c r="G13" s="21">
        <f t="shared" si="5"/>
        <v>1.1599999999999999</v>
      </c>
      <c r="H13" s="18">
        <f t="shared" si="7"/>
        <v>-0.12121212121212133</v>
      </c>
      <c r="I13" s="82">
        <f t="shared" si="8"/>
        <v>7.9999999999999991</v>
      </c>
      <c r="Q13" t="s">
        <v>87</v>
      </c>
    </row>
    <row r="14" spans="1:35" x14ac:dyDescent="0.2">
      <c r="A14" s="27">
        <f t="shared" si="6"/>
        <v>1.7999999999999998</v>
      </c>
      <c r="B14" s="7">
        <f t="shared" si="0"/>
        <v>1.3599999999999999</v>
      </c>
      <c r="C14" s="10">
        <f t="shared" si="1"/>
        <v>29.411764705882355</v>
      </c>
      <c r="D14" s="9">
        <f t="shared" si="2"/>
        <v>1.3599999999999999</v>
      </c>
      <c r="E14" s="11">
        <f t="shared" si="3"/>
        <v>1.18</v>
      </c>
      <c r="F14" s="12">
        <f t="shared" si="4"/>
        <v>33.898305084745765</v>
      </c>
      <c r="G14" s="11">
        <f t="shared" si="5"/>
        <v>1.18</v>
      </c>
      <c r="H14" s="17">
        <f t="shared" si="7"/>
        <v>-0.13235294117647056</v>
      </c>
      <c r="I14" s="82">
        <f t="shared" si="8"/>
        <v>9</v>
      </c>
      <c r="Q14" s="71" t="s">
        <v>145</v>
      </c>
      <c r="R14" s="71"/>
      <c r="S14" s="71"/>
      <c r="T14" s="71"/>
      <c r="U14" s="71"/>
      <c r="V14" s="71"/>
      <c r="W14" s="71"/>
      <c r="X14" s="71"/>
      <c r="Y14" s="71"/>
      <c r="AB14" s="71"/>
      <c r="AC14" s="71"/>
      <c r="AD14" s="71"/>
      <c r="AE14" s="71"/>
      <c r="AF14" s="71"/>
      <c r="AG14" s="71"/>
      <c r="AH14" s="71"/>
      <c r="AI14" s="71"/>
    </row>
    <row r="15" spans="1:35" x14ac:dyDescent="0.2">
      <c r="A15" s="27">
        <f t="shared" si="6"/>
        <v>1.9999999999999998</v>
      </c>
      <c r="B15" s="7">
        <f t="shared" si="0"/>
        <v>1.4</v>
      </c>
      <c r="C15" s="10">
        <f t="shared" si="1"/>
        <v>28.571428571428573</v>
      </c>
      <c r="D15" s="9">
        <f t="shared" si="2"/>
        <v>1.4</v>
      </c>
      <c r="E15" s="11">
        <f t="shared" si="3"/>
        <v>1.2</v>
      </c>
      <c r="F15" s="12">
        <f t="shared" si="4"/>
        <v>33.333333333333336</v>
      </c>
      <c r="G15" s="11">
        <f t="shared" si="5"/>
        <v>1.2</v>
      </c>
      <c r="H15" s="17">
        <f t="shared" si="7"/>
        <v>-0.14285714285714279</v>
      </c>
      <c r="I15" s="82">
        <f t="shared" si="8"/>
        <v>9.9999999999999982</v>
      </c>
      <c r="Q15" t="s">
        <v>144</v>
      </c>
    </row>
    <row r="16" spans="1:35" ht="15" x14ac:dyDescent="0.25">
      <c r="A16" s="27">
        <f t="shared" si="6"/>
        <v>2.1999999999999997</v>
      </c>
      <c r="B16" s="7">
        <f t="shared" si="0"/>
        <v>1.44</v>
      </c>
      <c r="C16" s="10">
        <f t="shared" si="1"/>
        <v>27.777777777777779</v>
      </c>
      <c r="D16" s="9">
        <f t="shared" si="2"/>
        <v>1.44</v>
      </c>
      <c r="E16" s="11">
        <f t="shared" si="3"/>
        <v>1.22</v>
      </c>
      <c r="F16" s="12">
        <f t="shared" si="4"/>
        <v>32.786885245901637</v>
      </c>
      <c r="G16" s="11">
        <f t="shared" si="5"/>
        <v>1.2200000000000002</v>
      </c>
      <c r="H16" s="17">
        <f t="shared" si="7"/>
        <v>-0.15277777777777757</v>
      </c>
      <c r="I16" s="82">
        <f t="shared" si="8"/>
        <v>10.999999999999998</v>
      </c>
      <c r="Q16" t="s">
        <v>148</v>
      </c>
    </row>
    <row r="17" spans="1:28" x14ac:dyDescent="0.2">
      <c r="A17" s="27">
        <f t="shared" si="6"/>
        <v>2.4</v>
      </c>
      <c r="B17" s="7">
        <f t="shared" si="0"/>
        <v>1.48</v>
      </c>
      <c r="C17" s="10">
        <f t="shared" si="1"/>
        <v>27.027027027027028</v>
      </c>
      <c r="D17" s="9">
        <f t="shared" si="2"/>
        <v>1.48</v>
      </c>
      <c r="E17" s="11">
        <f t="shared" si="3"/>
        <v>1.24</v>
      </c>
      <c r="F17" s="12">
        <f t="shared" si="4"/>
        <v>32.258064516129032</v>
      </c>
      <c r="G17" s="11">
        <f t="shared" si="5"/>
        <v>1.24</v>
      </c>
      <c r="H17" s="17">
        <f t="shared" si="7"/>
        <v>-0.16216216216216217</v>
      </c>
      <c r="I17" s="82">
        <f t="shared" si="8"/>
        <v>12</v>
      </c>
      <c r="R17" t="s">
        <v>138</v>
      </c>
      <c r="AB17" t="s">
        <v>138</v>
      </c>
    </row>
    <row r="18" spans="1:28" ht="15" x14ac:dyDescent="0.25">
      <c r="A18" s="27">
        <f t="shared" si="6"/>
        <v>2.6</v>
      </c>
      <c r="B18" s="7">
        <f t="shared" si="0"/>
        <v>1.52</v>
      </c>
      <c r="C18" s="10">
        <f t="shared" si="1"/>
        <v>26.315789473684209</v>
      </c>
      <c r="D18" s="9">
        <f t="shared" si="2"/>
        <v>1.52</v>
      </c>
      <c r="E18" s="11">
        <f t="shared" si="3"/>
        <v>1.26</v>
      </c>
      <c r="F18" s="12">
        <f t="shared" si="4"/>
        <v>31.746031746031747</v>
      </c>
      <c r="G18" s="11">
        <f t="shared" si="5"/>
        <v>1.26</v>
      </c>
      <c r="H18" s="17">
        <f t="shared" si="7"/>
        <v>-0.17105263157894735</v>
      </c>
      <c r="I18" s="82">
        <f t="shared" si="8"/>
        <v>13</v>
      </c>
      <c r="Q18" s="29" t="s">
        <v>140</v>
      </c>
    </row>
    <row r="19" spans="1:28" ht="15" x14ac:dyDescent="0.25">
      <c r="A19" s="27">
        <f t="shared" si="6"/>
        <v>2.8000000000000003</v>
      </c>
      <c r="B19" s="7">
        <f t="shared" si="0"/>
        <v>1.56</v>
      </c>
      <c r="C19" s="10">
        <f t="shared" si="1"/>
        <v>25.641025641025639</v>
      </c>
      <c r="D19" s="9">
        <f t="shared" si="2"/>
        <v>1.56</v>
      </c>
      <c r="E19" s="11">
        <f t="shared" si="3"/>
        <v>1.28</v>
      </c>
      <c r="F19" s="12">
        <f t="shared" si="4"/>
        <v>31.25</v>
      </c>
      <c r="G19" s="11">
        <f t="shared" si="5"/>
        <v>1.28</v>
      </c>
      <c r="H19" s="17">
        <f t="shared" si="7"/>
        <v>-0.17948717948717952</v>
      </c>
      <c r="I19" s="82">
        <f t="shared" si="8"/>
        <v>14.000000000000002</v>
      </c>
      <c r="Q19" t="s">
        <v>149</v>
      </c>
    </row>
    <row r="20" spans="1:28" x14ac:dyDescent="0.2">
      <c r="A20" s="27">
        <f t="shared" si="6"/>
        <v>3.0000000000000004</v>
      </c>
      <c r="B20" s="7">
        <f t="shared" si="0"/>
        <v>1.6</v>
      </c>
      <c r="C20" s="10">
        <f t="shared" si="1"/>
        <v>25</v>
      </c>
      <c r="D20" s="9">
        <f t="shared" si="2"/>
        <v>1.6</v>
      </c>
      <c r="E20" s="11">
        <f t="shared" si="3"/>
        <v>1.3</v>
      </c>
      <c r="F20" s="12">
        <f t="shared" si="4"/>
        <v>30.769230769230766</v>
      </c>
      <c r="G20" s="11">
        <f t="shared" si="5"/>
        <v>1.3</v>
      </c>
      <c r="H20" s="17">
        <f t="shared" si="7"/>
        <v>-0.1875</v>
      </c>
      <c r="I20" s="82">
        <f t="shared" si="8"/>
        <v>15.000000000000002</v>
      </c>
      <c r="Q20" t="s">
        <v>150</v>
      </c>
    </row>
    <row r="21" spans="1:28" x14ac:dyDescent="0.2">
      <c r="A21" s="27">
        <f t="shared" si="6"/>
        <v>3.2000000000000006</v>
      </c>
      <c r="B21" s="7">
        <f t="shared" si="0"/>
        <v>1.6400000000000001</v>
      </c>
      <c r="C21" s="19">
        <f t="shared" si="1"/>
        <v>24.390243902439021</v>
      </c>
      <c r="D21" s="20">
        <f t="shared" si="2"/>
        <v>1.6400000000000001</v>
      </c>
      <c r="E21" s="21">
        <f t="shared" si="3"/>
        <v>1.32</v>
      </c>
      <c r="F21" s="22">
        <f t="shared" si="4"/>
        <v>30.303030303030301</v>
      </c>
      <c r="G21" s="21">
        <f t="shared" si="5"/>
        <v>1.32</v>
      </c>
      <c r="H21" s="23">
        <f t="shared" si="7"/>
        <v>-0.19512195121951226</v>
      </c>
      <c r="I21" s="82">
        <f t="shared" si="8"/>
        <v>16.000000000000004</v>
      </c>
      <c r="Q21" t="s">
        <v>151</v>
      </c>
    </row>
    <row r="22" spans="1:28" x14ac:dyDescent="0.2">
      <c r="A22" s="51">
        <f t="shared" si="6"/>
        <v>3.4000000000000008</v>
      </c>
      <c r="B22" s="52">
        <f t="shared" si="0"/>
        <v>1.6800000000000002</v>
      </c>
      <c r="C22" s="19">
        <f t="shared" si="1"/>
        <v>23.809523809523807</v>
      </c>
      <c r="D22" s="20">
        <f t="shared" si="2"/>
        <v>1.6800000000000002</v>
      </c>
      <c r="E22" s="21">
        <f t="shared" si="3"/>
        <v>1.34</v>
      </c>
      <c r="F22" s="22">
        <f t="shared" si="4"/>
        <v>29.850746268656714</v>
      </c>
      <c r="G22" s="21">
        <f t="shared" si="5"/>
        <v>1.34</v>
      </c>
      <c r="H22" s="23">
        <f>G22/D22-1</f>
        <v>-0.20238095238095244</v>
      </c>
      <c r="I22" s="82">
        <f t="shared" si="8"/>
        <v>17.000000000000004</v>
      </c>
      <c r="Q22" t="s">
        <v>146</v>
      </c>
    </row>
    <row r="23" spans="1:28" x14ac:dyDescent="0.2">
      <c r="A23" s="27">
        <f t="shared" si="6"/>
        <v>3.600000000000001</v>
      </c>
      <c r="B23" s="7">
        <f t="shared" si="0"/>
        <v>1.7200000000000002</v>
      </c>
      <c r="C23" s="19">
        <f t="shared" si="1"/>
        <v>23.255813953488371</v>
      </c>
      <c r="D23" s="20">
        <f t="shared" si="2"/>
        <v>1.7200000000000002</v>
      </c>
      <c r="E23" s="21">
        <f t="shared" si="3"/>
        <v>1.36</v>
      </c>
      <c r="F23" s="22">
        <f t="shared" si="4"/>
        <v>29.411764705882351</v>
      </c>
      <c r="G23" s="21">
        <f t="shared" si="5"/>
        <v>1.36</v>
      </c>
      <c r="H23" s="23">
        <f t="shared" ref="H23:H30" si="9">G23/D23-1</f>
        <v>-0.20930232558139539</v>
      </c>
      <c r="I23" s="82">
        <f t="shared" si="8"/>
        <v>18.000000000000004</v>
      </c>
      <c r="Q23" t="s">
        <v>147</v>
      </c>
    </row>
    <row r="24" spans="1:28" x14ac:dyDescent="0.2">
      <c r="A24" s="27">
        <f t="shared" si="6"/>
        <v>3.8000000000000012</v>
      </c>
      <c r="B24" s="7">
        <f t="shared" si="0"/>
        <v>1.7600000000000002</v>
      </c>
      <c r="C24" s="10">
        <f t="shared" si="1"/>
        <v>22.727272727272723</v>
      </c>
      <c r="D24" s="9">
        <f t="shared" si="2"/>
        <v>1.7600000000000002</v>
      </c>
      <c r="E24" s="11">
        <f t="shared" si="3"/>
        <v>1.3800000000000001</v>
      </c>
      <c r="F24" s="12">
        <f t="shared" si="4"/>
        <v>28.985507246376809</v>
      </c>
      <c r="G24" s="11">
        <f t="shared" si="5"/>
        <v>1.3800000000000001</v>
      </c>
      <c r="H24" s="17">
        <f t="shared" si="9"/>
        <v>-0.21590909090909094</v>
      </c>
      <c r="I24" s="82">
        <f t="shared" si="8"/>
        <v>19.000000000000007</v>
      </c>
    </row>
    <row r="25" spans="1:28" ht="15" x14ac:dyDescent="0.25">
      <c r="A25" s="27">
        <f t="shared" si="6"/>
        <v>4.0000000000000009</v>
      </c>
      <c r="B25" s="7">
        <f t="shared" si="0"/>
        <v>1.8000000000000003</v>
      </c>
      <c r="C25" s="10">
        <f t="shared" si="1"/>
        <v>22.222222222222218</v>
      </c>
      <c r="D25" s="9">
        <f t="shared" si="2"/>
        <v>1.8000000000000003</v>
      </c>
      <c r="E25" s="11">
        <f t="shared" si="3"/>
        <v>1.4000000000000001</v>
      </c>
      <c r="F25" s="12">
        <f t="shared" si="4"/>
        <v>28.571428571428569</v>
      </c>
      <c r="G25" s="11">
        <f t="shared" si="5"/>
        <v>1.4000000000000001</v>
      </c>
      <c r="H25" s="17">
        <f t="shared" si="9"/>
        <v>-0.22222222222222221</v>
      </c>
      <c r="I25" s="82">
        <f t="shared" si="8"/>
        <v>20.000000000000004</v>
      </c>
      <c r="Q25" s="29" t="s">
        <v>152</v>
      </c>
    </row>
    <row r="26" spans="1:28" x14ac:dyDescent="0.2">
      <c r="A26" s="27">
        <f t="shared" si="6"/>
        <v>4.2000000000000011</v>
      </c>
      <c r="B26" s="7">
        <f t="shared" si="0"/>
        <v>1.8400000000000003</v>
      </c>
      <c r="C26" s="10">
        <f t="shared" si="1"/>
        <v>21.739130434782606</v>
      </c>
      <c r="D26" s="9">
        <f t="shared" si="2"/>
        <v>1.8400000000000003</v>
      </c>
      <c r="E26" s="11">
        <f t="shared" si="3"/>
        <v>1.4200000000000002</v>
      </c>
      <c r="F26" s="12">
        <f t="shared" si="4"/>
        <v>28.16901408450704</v>
      </c>
      <c r="G26" s="11">
        <f t="shared" si="5"/>
        <v>1.4200000000000002</v>
      </c>
      <c r="H26" s="17">
        <f t="shared" si="9"/>
        <v>-0.22826086956521741</v>
      </c>
      <c r="I26" s="82">
        <f t="shared" si="8"/>
        <v>21.000000000000007</v>
      </c>
      <c r="Q26" t="s">
        <v>153</v>
      </c>
    </row>
    <row r="27" spans="1:28" x14ac:dyDescent="0.2">
      <c r="A27" s="27">
        <f t="shared" si="6"/>
        <v>4.4000000000000012</v>
      </c>
      <c r="B27" s="7">
        <f t="shared" si="0"/>
        <v>1.8800000000000003</v>
      </c>
      <c r="C27" s="10">
        <f t="shared" si="1"/>
        <v>21.276595744680847</v>
      </c>
      <c r="D27" s="9">
        <f t="shared" si="2"/>
        <v>1.8800000000000003</v>
      </c>
      <c r="E27" s="11">
        <f t="shared" si="3"/>
        <v>1.4400000000000002</v>
      </c>
      <c r="F27" s="12">
        <f t="shared" si="4"/>
        <v>27.777777777777775</v>
      </c>
      <c r="G27" s="11">
        <f t="shared" si="5"/>
        <v>1.4400000000000002</v>
      </c>
      <c r="H27" s="17">
        <f t="shared" si="9"/>
        <v>-0.23404255319148937</v>
      </c>
      <c r="I27" s="82">
        <f t="shared" si="8"/>
        <v>22.000000000000007</v>
      </c>
      <c r="Q27" t="s">
        <v>86</v>
      </c>
    </row>
    <row r="28" spans="1:28" x14ac:dyDescent="0.2">
      <c r="A28" s="27">
        <f t="shared" si="6"/>
        <v>4.6000000000000014</v>
      </c>
      <c r="B28" s="7">
        <f t="shared" si="0"/>
        <v>1.9200000000000004</v>
      </c>
      <c r="C28" s="10">
        <f t="shared" si="1"/>
        <v>20.833333333333329</v>
      </c>
      <c r="D28" s="9">
        <f t="shared" si="2"/>
        <v>1.9200000000000004</v>
      </c>
      <c r="E28" s="11">
        <f t="shared" si="3"/>
        <v>1.4600000000000002</v>
      </c>
      <c r="F28" s="12">
        <f t="shared" si="4"/>
        <v>27.397260273972599</v>
      </c>
      <c r="G28" s="11">
        <f t="shared" si="5"/>
        <v>1.4600000000000002</v>
      </c>
      <c r="H28" s="17">
        <f t="shared" si="9"/>
        <v>-0.23958333333333337</v>
      </c>
      <c r="I28" s="82">
        <f t="shared" si="8"/>
        <v>23.000000000000007</v>
      </c>
      <c r="Q28" t="s">
        <v>154</v>
      </c>
    </row>
    <row r="29" spans="1:28" ht="15" x14ac:dyDescent="0.25">
      <c r="A29" s="27">
        <f t="shared" si="6"/>
        <v>4.8000000000000016</v>
      </c>
      <c r="B29" s="7">
        <f t="shared" si="0"/>
        <v>1.9600000000000004</v>
      </c>
      <c r="C29" s="10">
        <f t="shared" si="1"/>
        <v>20.408163265306118</v>
      </c>
      <c r="D29" s="9">
        <f t="shared" si="2"/>
        <v>1.9600000000000004</v>
      </c>
      <c r="E29" s="11">
        <f t="shared" si="3"/>
        <v>1.4800000000000002</v>
      </c>
      <c r="F29" s="12">
        <f t="shared" si="4"/>
        <v>27.027027027027025</v>
      </c>
      <c r="G29" s="11">
        <f t="shared" si="5"/>
        <v>1.4800000000000002</v>
      </c>
      <c r="H29" s="17">
        <f t="shared" si="9"/>
        <v>-0.24489795918367352</v>
      </c>
      <c r="I29" s="82">
        <f t="shared" si="8"/>
        <v>24.000000000000007</v>
      </c>
      <c r="Q29" t="s">
        <v>155</v>
      </c>
    </row>
    <row r="30" spans="1:28" ht="15" x14ac:dyDescent="0.25">
      <c r="A30" s="27">
        <f t="shared" si="6"/>
        <v>5.0000000000000018</v>
      </c>
      <c r="B30" s="7">
        <f t="shared" si="0"/>
        <v>2.0000000000000004</v>
      </c>
      <c r="C30" s="8">
        <f t="shared" si="1"/>
        <v>19.999999999999996</v>
      </c>
      <c r="D30" s="9">
        <f t="shared" si="2"/>
        <v>2.0000000000000004</v>
      </c>
      <c r="E30" s="11">
        <f t="shared" si="3"/>
        <v>1.5000000000000002</v>
      </c>
      <c r="F30" s="12">
        <f t="shared" si="4"/>
        <v>26.666666666666664</v>
      </c>
      <c r="G30" s="11">
        <f t="shared" si="5"/>
        <v>1.5000000000000002</v>
      </c>
      <c r="H30" s="17">
        <f t="shared" si="9"/>
        <v>-0.25</v>
      </c>
      <c r="I30" s="82">
        <f t="shared" si="8"/>
        <v>25.000000000000007</v>
      </c>
      <c r="J30" s="85" t="s">
        <v>58</v>
      </c>
      <c r="Q30" t="s">
        <v>156</v>
      </c>
    </row>
    <row r="31" spans="1:28" ht="15" x14ac:dyDescent="0.25">
      <c r="A31" s="76" t="s">
        <v>45</v>
      </c>
      <c r="B31" s="77" t="s">
        <v>38</v>
      </c>
      <c r="C31" s="78" t="s">
        <v>39</v>
      </c>
      <c r="D31" s="78" t="s">
        <v>40</v>
      </c>
      <c r="E31" s="79" t="s">
        <v>44</v>
      </c>
      <c r="F31" s="79" t="s">
        <v>43</v>
      </c>
      <c r="G31" s="79" t="s">
        <v>42</v>
      </c>
      <c r="H31" s="80" t="s">
        <v>41</v>
      </c>
      <c r="J31" s="85" t="s">
        <v>57</v>
      </c>
      <c r="M31" s="84">
        <f>B2</f>
        <v>1</v>
      </c>
      <c r="N31" s="86" t="s">
        <v>56</v>
      </c>
      <c r="Q31" t="s">
        <v>157</v>
      </c>
    </row>
    <row r="32" spans="1:28" x14ac:dyDescent="0.2">
      <c r="A32" t="s">
        <v>36</v>
      </c>
      <c r="J32" s="101" t="s">
        <v>67</v>
      </c>
      <c r="Q32" t="s">
        <v>165</v>
      </c>
    </row>
    <row r="33" spans="1:32" x14ac:dyDescent="0.2">
      <c r="A33" t="s">
        <v>29</v>
      </c>
      <c r="Q33" t="s">
        <v>166</v>
      </c>
    </row>
    <row r="34" spans="1:32" x14ac:dyDescent="0.2">
      <c r="A34" t="s">
        <v>37</v>
      </c>
      <c r="Q34" t="s">
        <v>158</v>
      </c>
    </row>
    <row r="36" spans="1:32" ht="15" x14ac:dyDescent="0.25">
      <c r="Q36" s="29" t="s">
        <v>167</v>
      </c>
    </row>
    <row r="37" spans="1:32" ht="15" x14ac:dyDescent="0.25">
      <c r="Q37" t="s">
        <v>162</v>
      </c>
    </row>
    <row r="38" spans="1:32" x14ac:dyDescent="0.2">
      <c r="Q38" t="s">
        <v>159</v>
      </c>
    </row>
    <row r="39" spans="1:32" x14ac:dyDescent="0.2">
      <c r="Q39" t="s">
        <v>160</v>
      </c>
    </row>
    <row r="40" spans="1:32" x14ac:dyDescent="0.2">
      <c r="Q40" t="s">
        <v>161</v>
      </c>
    </row>
    <row r="41" spans="1:32" ht="15" x14ac:dyDescent="0.25">
      <c r="Q41" t="s">
        <v>156</v>
      </c>
    </row>
    <row r="42" spans="1:32" ht="15" x14ac:dyDescent="0.25">
      <c r="Q42" t="s">
        <v>168</v>
      </c>
    </row>
    <row r="43" spans="1:32" x14ac:dyDescent="0.2">
      <c r="Q43" t="s">
        <v>163</v>
      </c>
    </row>
    <row r="44" spans="1:32" x14ac:dyDescent="0.2">
      <c r="Q44" t="s">
        <v>169</v>
      </c>
    </row>
    <row r="45" spans="1:32" ht="15" x14ac:dyDescent="0.25">
      <c r="Q45" t="s">
        <v>170</v>
      </c>
      <c r="AB45" s="29"/>
      <c r="AC45" s="29"/>
      <c r="AD45" s="29"/>
      <c r="AE45" s="29"/>
      <c r="AF45" s="29"/>
    </row>
    <row r="47" spans="1:32" ht="15" x14ac:dyDescent="0.25">
      <c r="Q47" s="29" t="s">
        <v>96</v>
      </c>
      <c r="R47" s="29"/>
      <c r="S47" s="29"/>
      <c r="T47" s="29"/>
      <c r="U47" s="29"/>
      <c r="V47" s="29"/>
    </row>
    <row r="48" spans="1:32" ht="15" x14ac:dyDescent="0.25">
      <c r="Q48" t="s">
        <v>133</v>
      </c>
    </row>
    <row r="49" spans="17:17" x14ac:dyDescent="0.2">
      <c r="Q49" t="s">
        <v>134</v>
      </c>
    </row>
    <row r="50" spans="17:17" x14ac:dyDescent="0.2">
      <c r="Q50" t="s">
        <v>132</v>
      </c>
    </row>
    <row r="51" spans="17:17" x14ac:dyDescent="0.2">
      <c r="Q51" t="s">
        <v>139</v>
      </c>
    </row>
    <row r="52" spans="17:17" x14ac:dyDescent="0.2">
      <c r="Q52" t="s">
        <v>192</v>
      </c>
    </row>
    <row r="53" spans="17:17" x14ac:dyDescent="0.2">
      <c r="Q53" t="s">
        <v>193</v>
      </c>
    </row>
    <row r="54" spans="17:17" x14ac:dyDescent="0.2">
      <c r="Q54" t="s">
        <v>194</v>
      </c>
    </row>
  </sheetData>
  <pageMargins left="0" right="0" top="0.39409448818897641" bottom="0.39409448818897641" header="0" footer="0"/>
  <pageSetup paperSize="9" orientation="portrait" r:id="rId1"/>
  <headerFooter>
    <oddHeader>&amp;C&amp;A</oddHeader>
    <oddFooter>&amp;CPage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5"/>
  <sheetViews>
    <sheetView workbookViewId="0">
      <selection activeCell="H25" sqref="H25"/>
    </sheetView>
  </sheetViews>
  <sheetFormatPr baseColWidth="10" defaultRowHeight="14.25" x14ac:dyDescent="0.2"/>
  <cols>
    <col min="1" max="1" width="18.25" customWidth="1"/>
    <col min="2" max="2" width="10.375" customWidth="1"/>
    <col min="3" max="3" width="8.75" customWidth="1"/>
    <col min="4" max="4" width="10.125" customWidth="1"/>
    <col min="6" max="6" width="9.125" customWidth="1"/>
    <col min="8" max="8" width="11.875" customWidth="1"/>
    <col min="9" max="9" width="3.625" customWidth="1"/>
    <col min="16" max="16" width="4.25" customWidth="1"/>
  </cols>
  <sheetData>
    <row r="1" spans="1:29" ht="15" x14ac:dyDescent="0.25">
      <c r="A1" t="s">
        <v>23</v>
      </c>
      <c r="B1" s="13">
        <v>40</v>
      </c>
      <c r="C1" s="174" t="s">
        <v>213</v>
      </c>
      <c r="D1" s="175" t="s">
        <v>17</v>
      </c>
      <c r="E1" s="87"/>
      <c r="F1" s="87"/>
      <c r="G1" s="87"/>
      <c r="H1" s="206"/>
      <c r="J1" s="87"/>
      <c r="K1" s="88" t="s">
        <v>8</v>
      </c>
      <c r="L1" s="89">
        <f>E3</f>
        <v>0.03</v>
      </c>
      <c r="M1" s="94" t="s">
        <v>53</v>
      </c>
      <c r="N1" s="90">
        <f>B3</f>
        <v>0.02</v>
      </c>
      <c r="O1" s="87"/>
      <c r="Q1" s="29" t="s">
        <v>104</v>
      </c>
      <c r="S1" t="s">
        <v>98</v>
      </c>
      <c r="AA1" s="29" t="s">
        <v>104</v>
      </c>
      <c r="AC1" t="s">
        <v>98</v>
      </c>
    </row>
    <row r="2" spans="1:29" ht="15" x14ac:dyDescent="0.25">
      <c r="A2" t="s">
        <v>26</v>
      </c>
      <c r="B2" s="69">
        <v>1</v>
      </c>
      <c r="D2" s="29" t="s">
        <v>130</v>
      </c>
      <c r="H2" s="164"/>
      <c r="J2" s="2" t="s">
        <v>60</v>
      </c>
      <c r="K2" s="2"/>
      <c r="L2" s="2"/>
      <c r="M2" s="2"/>
      <c r="N2" s="2"/>
      <c r="O2" s="2"/>
      <c r="Q2" t="s">
        <v>85</v>
      </c>
    </row>
    <row r="3" spans="1:29" ht="15" thickBot="1" x14ac:dyDescent="0.25">
      <c r="A3" s="74" t="s">
        <v>8</v>
      </c>
      <c r="B3" s="73">
        <v>0.02</v>
      </c>
      <c r="C3" s="3"/>
      <c r="D3" s="3"/>
      <c r="E3" s="73">
        <v>0.03</v>
      </c>
      <c r="F3" s="2"/>
      <c r="G3" s="2"/>
      <c r="H3" s="16" t="s">
        <v>7</v>
      </c>
      <c r="J3" t="s">
        <v>46</v>
      </c>
      <c r="O3" t="s">
        <v>54</v>
      </c>
    </row>
    <row r="4" spans="1:29" ht="16.5" thickTop="1" thickBot="1" x14ac:dyDescent="0.3">
      <c r="A4" s="68" t="s">
        <v>24</v>
      </c>
      <c r="B4" s="5" t="s">
        <v>9</v>
      </c>
      <c r="C4" s="4" t="s">
        <v>2</v>
      </c>
      <c r="D4" s="6" t="s">
        <v>3</v>
      </c>
      <c r="E4" s="4" t="s">
        <v>10</v>
      </c>
      <c r="F4" s="4" t="s">
        <v>5</v>
      </c>
      <c r="G4" s="4" t="s">
        <v>6</v>
      </c>
      <c r="H4" s="75" t="s">
        <v>35</v>
      </c>
      <c r="Q4" s="29" t="s">
        <v>125</v>
      </c>
    </row>
    <row r="5" spans="1:29" x14ac:dyDescent="0.2">
      <c r="A5" s="27">
        <v>0</v>
      </c>
      <c r="B5" s="7">
        <f t="shared" ref="B5:B20" si="0">1+$A5*B$3</f>
        <v>1</v>
      </c>
      <c r="C5" s="8">
        <f t="shared" ref="C5:C8" si="1">$B$1/B5</f>
        <v>40</v>
      </c>
      <c r="D5" s="47">
        <f t="shared" ref="D5:D8" si="2">+$B$2*$B$1/C5</f>
        <v>1</v>
      </c>
      <c r="E5" s="11">
        <f t="shared" ref="E5:E20" si="3">1+$A5*E$3</f>
        <v>1</v>
      </c>
      <c r="F5" s="11">
        <f t="shared" ref="F5:F8" si="4">$B$1/E5</f>
        <v>40</v>
      </c>
      <c r="G5" s="70">
        <f t="shared" ref="G5:G8" si="5">+$B$2*$B$1/F5</f>
        <v>1</v>
      </c>
      <c r="H5" s="17">
        <v>0</v>
      </c>
      <c r="Q5" t="s">
        <v>124</v>
      </c>
    </row>
    <row r="6" spans="1:29" x14ac:dyDescent="0.2">
      <c r="A6" s="27">
        <v>2</v>
      </c>
      <c r="B6" s="7">
        <f t="shared" si="0"/>
        <v>1.04</v>
      </c>
      <c r="C6" s="10">
        <f t="shared" si="1"/>
        <v>38.46153846153846</v>
      </c>
      <c r="D6" s="9">
        <f t="shared" si="2"/>
        <v>1.04</v>
      </c>
      <c r="E6" s="11">
        <f t="shared" si="3"/>
        <v>1.06</v>
      </c>
      <c r="F6" s="12">
        <f t="shared" si="4"/>
        <v>37.735849056603769</v>
      </c>
      <c r="G6" s="11">
        <f t="shared" si="5"/>
        <v>1.06</v>
      </c>
      <c r="H6" s="17">
        <f t="shared" ref="H6:H8" si="6">G6/D6-1</f>
        <v>1.9230769230769162E-2</v>
      </c>
      <c r="Q6" t="s">
        <v>86</v>
      </c>
    </row>
    <row r="7" spans="1:29" x14ac:dyDescent="0.2">
      <c r="A7" s="27">
        <f>A6+2</f>
        <v>4</v>
      </c>
      <c r="B7" s="7">
        <f t="shared" si="0"/>
        <v>1.08</v>
      </c>
      <c r="C7" s="10">
        <f t="shared" si="1"/>
        <v>37.037037037037038</v>
      </c>
      <c r="D7" s="9">
        <f t="shared" si="2"/>
        <v>1.08</v>
      </c>
      <c r="E7" s="11">
        <f t="shared" si="3"/>
        <v>1.1200000000000001</v>
      </c>
      <c r="F7" s="12">
        <f t="shared" si="4"/>
        <v>35.714285714285708</v>
      </c>
      <c r="G7" s="11">
        <f t="shared" si="5"/>
        <v>1.1200000000000001</v>
      </c>
      <c r="H7" s="17">
        <f t="shared" si="6"/>
        <v>3.7037037037036979E-2</v>
      </c>
      <c r="Q7" t="s">
        <v>113</v>
      </c>
    </row>
    <row r="8" spans="1:29" x14ac:dyDescent="0.2">
      <c r="A8" s="27">
        <f t="shared" ref="A8:A20" si="7">A7+2</f>
        <v>6</v>
      </c>
      <c r="B8" s="7">
        <f t="shared" si="0"/>
        <v>1.1200000000000001</v>
      </c>
      <c r="C8" s="10">
        <f t="shared" si="1"/>
        <v>35.714285714285708</v>
      </c>
      <c r="D8" s="9">
        <f t="shared" si="2"/>
        <v>1.1200000000000001</v>
      </c>
      <c r="E8" s="11">
        <f t="shared" si="3"/>
        <v>1.18</v>
      </c>
      <c r="F8" s="12">
        <f t="shared" si="4"/>
        <v>33.898305084745765</v>
      </c>
      <c r="G8" s="11">
        <f t="shared" si="5"/>
        <v>1.18</v>
      </c>
      <c r="H8" s="17">
        <f t="shared" si="6"/>
        <v>5.3571428571428381E-2</v>
      </c>
      <c r="Q8" t="s">
        <v>105</v>
      </c>
    </row>
    <row r="9" spans="1:29" x14ac:dyDescent="0.2">
      <c r="A9" s="27">
        <f t="shared" si="7"/>
        <v>8</v>
      </c>
      <c r="B9" s="7">
        <f t="shared" si="0"/>
        <v>1.1599999999999999</v>
      </c>
      <c r="C9" s="10">
        <f t="shared" ref="C9:C20" si="8">$B$1/B9</f>
        <v>34.482758620689658</v>
      </c>
      <c r="D9" s="9">
        <f t="shared" ref="D9:D20" si="9">+$B$2*$B$1/C9</f>
        <v>1.1599999999999999</v>
      </c>
      <c r="E9" s="11">
        <f t="shared" si="3"/>
        <v>1.24</v>
      </c>
      <c r="F9" s="12">
        <f t="shared" ref="F9:F20" si="10">$B$1/E9</f>
        <v>32.258064516129032</v>
      </c>
      <c r="G9" s="11">
        <f t="shared" ref="G9:G20" si="11">+$B$2*$B$1/F9</f>
        <v>1.24</v>
      </c>
      <c r="H9" s="17">
        <f t="shared" ref="H9:H20" si="12">G9/D9-1</f>
        <v>6.8965517241379448E-2</v>
      </c>
      <c r="Q9" t="s">
        <v>171</v>
      </c>
    </row>
    <row r="10" spans="1:29" x14ac:dyDescent="0.2">
      <c r="A10" s="27">
        <f t="shared" si="7"/>
        <v>10</v>
      </c>
      <c r="B10" s="7">
        <f t="shared" si="0"/>
        <v>1.2</v>
      </c>
      <c r="C10" s="10">
        <f t="shared" si="8"/>
        <v>33.333333333333336</v>
      </c>
      <c r="D10" s="9">
        <f t="shared" si="9"/>
        <v>1.2</v>
      </c>
      <c r="E10" s="11">
        <f t="shared" si="3"/>
        <v>1.3</v>
      </c>
      <c r="F10" s="12">
        <f t="shared" si="10"/>
        <v>30.769230769230766</v>
      </c>
      <c r="G10" s="11">
        <f t="shared" si="11"/>
        <v>1.3</v>
      </c>
      <c r="H10" s="17">
        <f t="shared" si="12"/>
        <v>8.3333333333333481E-2</v>
      </c>
      <c r="Q10" t="s">
        <v>172</v>
      </c>
    </row>
    <row r="11" spans="1:29" x14ac:dyDescent="0.2">
      <c r="A11" s="27">
        <f t="shared" si="7"/>
        <v>12</v>
      </c>
      <c r="B11" s="7">
        <f t="shared" si="0"/>
        <v>1.24</v>
      </c>
      <c r="C11" s="10">
        <f t="shared" si="8"/>
        <v>32.258064516129032</v>
      </c>
      <c r="D11" s="9">
        <f t="shared" si="9"/>
        <v>1.24</v>
      </c>
      <c r="E11" s="11">
        <f t="shared" si="3"/>
        <v>1.3599999999999999</v>
      </c>
      <c r="F11" s="12">
        <f t="shared" si="10"/>
        <v>29.411764705882355</v>
      </c>
      <c r="G11" s="11">
        <f t="shared" si="11"/>
        <v>1.3599999999999999</v>
      </c>
      <c r="H11" s="17">
        <f t="shared" si="12"/>
        <v>9.6774193548387011E-2</v>
      </c>
      <c r="Q11" t="s">
        <v>173</v>
      </c>
    </row>
    <row r="12" spans="1:29" x14ac:dyDescent="0.2">
      <c r="A12" s="27">
        <f t="shared" si="7"/>
        <v>14</v>
      </c>
      <c r="B12" s="7">
        <f t="shared" si="0"/>
        <v>1.28</v>
      </c>
      <c r="C12" s="10">
        <f t="shared" si="8"/>
        <v>31.25</v>
      </c>
      <c r="D12" s="9">
        <f t="shared" si="9"/>
        <v>1.28</v>
      </c>
      <c r="E12" s="11">
        <f t="shared" si="3"/>
        <v>1.42</v>
      </c>
      <c r="F12" s="12">
        <f t="shared" si="10"/>
        <v>28.169014084507044</v>
      </c>
      <c r="G12" s="11">
        <f t="shared" si="11"/>
        <v>1.42</v>
      </c>
      <c r="H12" s="17">
        <f t="shared" si="12"/>
        <v>0.109375</v>
      </c>
      <c r="Q12" t="s">
        <v>174</v>
      </c>
    </row>
    <row r="13" spans="1:29" x14ac:dyDescent="0.2">
      <c r="A13" s="50">
        <f t="shared" si="7"/>
        <v>16</v>
      </c>
      <c r="B13" s="7">
        <f t="shared" si="0"/>
        <v>1.32</v>
      </c>
      <c r="C13" s="14">
        <f t="shared" si="8"/>
        <v>30.303030303030301</v>
      </c>
      <c r="D13" s="9">
        <f t="shared" si="9"/>
        <v>1.32</v>
      </c>
      <c r="E13" s="11">
        <f t="shared" si="3"/>
        <v>1.48</v>
      </c>
      <c r="F13" s="15">
        <f t="shared" si="10"/>
        <v>27.027027027027028</v>
      </c>
      <c r="G13" s="11">
        <f t="shared" si="11"/>
        <v>1.48</v>
      </c>
      <c r="H13" s="18">
        <f t="shared" si="12"/>
        <v>0.1212121212121211</v>
      </c>
      <c r="Q13" t="s">
        <v>89</v>
      </c>
    </row>
    <row r="14" spans="1:29" x14ac:dyDescent="0.2">
      <c r="A14" s="27">
        <f t="shared" si="7"/>
        <v>18</v>
      </c>
      <c r="B14" s="7">
        <f t="shared" si="0"/>
        <v>1.3599999999999999</v>
      </c>
      <c r="C14" s="10">
        <f t="shared" si="8"/>
        <v>29.411764705882355</v>
      </c>
      <c r="D14" s="9">
        <f t="shared" si="9"/>
        <v>1.3599999999999999</v>
      </c>
      <c r="E14" s="11">
        <f t="shared" si="3"/>
        <v>1.54</v>
      </c>
      <c r="F14" s="12">
        <f t="shared" si="10"/>
        <v>25.974025974025974</v>
      </c>
      <c r="G14" s="11">
        <f t="shared" si="11"/>
        <v>1.54</v>
      </c>
      <c r="H14" s="17">
        <f t="shared" si="12"/>
        <v>0.13235294117647078</v>
      </c>
      <c r="Q14" t="s">
        <v>87</v>
      </c>
    </row>
    <row r="15" spans="1:29" x14ac:dyDescent="0.2">
      <c r="A15" s="27">
        <f t="shared" si="7"/>
        <v>20</v>
      </c>
      <c r="B15" s="7">
        <f t="shared" si="0"/>
        <v>1.4</v>
      </c>
      <c r="C15" s="10">
        <f t="shared" si="8"/>
        <v>28.571428571428573</v>
      </c>
      <c r="D15" s="9">
        <f t="shared" si="9"/>
        <v>1.4</v>
      </c>
      <c r="E15" s="11">
        <f t="shared" si="3"/>
        <v>1.6</v>
      </c>
      <c r="F15" s="12">
        <f t="shared" si="10"/>
        <v>25</v>
      </c>
      <c r="G15" s="11">
        <f t="shared" si="11"/>
        <v>1.6</v>
      </c>
      <c r="H15" s="17">
        <f t="shared" si="12"/>
        <v>0.14285714285714302</v>
      </c>
      <c r="Q15" t="s">
        <v>90</v>
      </c>
    </row>
    <row r="16" spans="1:29" ht="15" x14ac:dyDescent="0.25">
      <c r="A16" s="27">
        <f t="shared" si="7"/>
        <v>22</v>
      </c>
      <c r="B16" s="7">
        <f t="shared" si="0"/>
        <v>1.44</v>
      </c>
      <c r="C16" s="10">
        <f t="shared" si="8"/>
        <v>27.777777777777779</v>
      </c>
      <c r="D16" s="9">
        <f t="shared" si="9"/>
        <v>1.44</v>
      </c>
      <c r="E16" s="11">
        <f t="shared" si="3"/>
        <v>1.66</v>
      </c>
      <c r="F16" s="12">
        <f t="shared" si="10"/>
        <v>24.096385542168676</v>
      </c>
      <c r="G16" s="11">
        <f t="shared" si="11"/>
        <v>1.66</v>
      </c>
      <c r="H16" s="17">
        <f t="shared" si="12"/>
        <v>0.15277777777777768</v>
      </c>
      <c r="Q16" t="s">
        <v>115</v>
      </c>
    </row>
    <row r="17" spans="1:17" x14ac:dyDescent="0.2">
      <c r="A17" s="27">
        <f t="shared" si="7"/>
        <v>24</v>
      </c>
      <c r="B17" s="7">
        <f t="shared" si="0"/>
        <v>1.48</v>
      </c>
      <c r="C17" s="10">
        <f t="shared" si="8"/>
        <v>27.027027027027028</v>
      </c>
      <c r="D17" s="9">
        <f t="shared" si="9"/>
        <v>1.48</v>
      </c>
      <c r="E17" s="11">
        <f t="shared" si="3"/>
        <v>1.72</v>
      </c>
      <c r="F17" s="12">
        <f t="shared" si="10"/>
        <v>23.255813953488371</v>
      </c>
      <c r="G17" s="11">
        <f t="shared" si="11"/>
        <v>1.7200000000000002</v>
      </c>
      <c r="H17" s="17">
        <f t="shared" si="12"/>
        <v>0.16216216216216228</v>
      </c>
    </row>
    <row r="18" spans="1:17" ht="15" x14ac:dyDescent="0.25">
      <c r="A18" s="27">
        <f t="shared" si="7"/>
        <v>26</v>
      </c>
      <c r="B18" s="7">
        <f t="shared" si="0"/>
        <v>1.52</v>
      </c>
      <c r="C18" s="10">
        <f t="shared" si="8"/>
        <v>26.315789473684209</v>
      </c>
      <c r="D18" s="9">
        <f t="shared" si="9"/>
        <v>1.52</v>
      </c>
      <c r="E18" s="11">
        <f t="shared" si="3"/>
        <v>1.78</v>
      </c>
      <c r="F18" s="12">
        <f t="shared" si="10"/>
        <v>22.471910112359549</v>
      </c>
      <c r="G18" s="11">
        <f t="shared" si="11"/>
        <v>1.7800000000000002</v>
      </c>
      <c r="H18" s="17">
        <f t="shared" si="12"/>
        <v>0.17105263157894757</v>
      </c>
      <c r="Q18" s="29" t="s">
        <v>126</v>
      </c>
    </row>
    <row r="19" spans="1:17" x14ac:dyDescent="0.2">
      <c r="A19" s="27">
        <f t="shared" si="7"/>
        <v>28</v>
      </c>
      <c r="B19" s="7">
        <f t="shared" si="0"/>
        <v>1.56</v>
      </c>
      <c r="C19" s="10">
        <f t="shared" si="8"/>
        <v>25.641025641025639</v>
      </c>
      <c r="D19" s="9">
        <f t="shared" si="9"/>
        <v>1.56</v>
      </c>
      <c r="E19" s="11">
        <f t="shared" si="3"/>
        <v>1.8399999999999999</v>
      </c>
      <c r="F19" s="12">
        <f t="shared" si="10"/>
        <v>21.739130434782609</v>
      </c>
      <c r="G19" s="11">
        <f t="shared" si="11"/>
        <v>1.8399999999999999</v>
      </c>
      <c r="H19" s="17">
        <f t="shared" si="12"/>
        <v>0.17948717948717929</v>
      </c>
      <c r="Q19" t="s">
        <v>112</v>
      </c>
    </row>
    <row r="20" spans="1:17" x14ac:dyDescent="0.2">
      <c r="A20" s="27">
        <f t="shared" si="7"/>
        <v>30</v>
      </c>
      <c r="B20" s="7">
        <f t="shared" si="0"/>
        <v>1.6</v>
      </c>
      <c r="C20" s="10">
        <f t="shared" si="8"/>
        <v>25</v>
      </c>
      <c r="D20" s="9">
        <f t="shared" si="9"/>
        <v>1.6</v>
      </c>
      <c r="E20" s="11">
        <f t="shared" si="3"/>
        <v>1.9</v>
      </c>
      <c r="F20" s="12">
        <f t="shared" si="10"/>
        <v>21.05263157894737</v>
      </c>
      <c r="G20" s="11">
        <f t="shared" si="11"/>
        <v>1.9</v>
      </c>
      <c r="H20" s="17">
        <f t="shared" si="12"/>
        <v>0.18749999999999978</v>
      </c>
      <c r="Q20" t="s">
        <v>86</v>
      </c>
    </row>
    <row r="21" spans="1:17" x14ac:dyDescent="0.2">
      <c r="A21" t="s">
        <v>33</v>
      </c>
      <c r="Q21" t="s">
        <v>113</v>
      </c>
    </row>
    <row r="22" spans="1:17" ht="15" x14ac:dyDescent="0.25">
      <c r="A22" t="s">
        <v>29</v>
      </c>
      <c r="Q22" t="s">
        <v>116</v>
      </c>
    </row>
    <row r="23" spans="1:17" x14ac:dyDescent="0.2">
      <c r="A23" t="s">
        <v>34</v>
      </c>
      <c r="Q23" t="s">
        <v>175</v>
      </c>
    </row>
    <row r="24" spans="1:17" x14ac:dyDescent="0.2">
      <c r="Q24" t="s">
        <v>176</v>
      </c>
    </row>
    <row r="25" spans="1:17" x14ac:dyDescent="0.2">
      <c r="Q25" t="s">
        <v>117</v>
      </c>
    </row>
    <row r="26" spans="1:17" x14ac:dyDescent="0.2">
      <c r="Q26" t="s">
        <v>87</v>
      </c>
    </row>
    <row r="27" spans="1:17" x14ac:dyDescent="0.2">
      <c r="Q27" t="s">
        <v>90</v>
      </c>
    </row>
    <row r="28" spans="1:17" ht="15" x14ac:dyDescent="0.25">
      <c r="J28" s="85" t="s">
        <v>52</v>
      </c>
      <c r="Q28" t="s">
        <v>114</v>
      </c>
    </row>
    <row r="29" spans="1:17" x14ac:dyDescent="0.2">
      <c r="J29" s="85" t="s">
        <v>55</v>
      </c>
      <c r="M29" s="84">
        <f>B2</f>
        <v>1</v>
      </c>
      <c r="N29" s="86" t="s">
        <v>56</v>
      </c>
    </row>
    <row r="30" spans="1:17" ht="15" x14ac:dyDescent="0.25">
      <c r="J30" s="101" t="s">
        <v>68</v>
      </c>
      <c r="Q30" s="29" t="s">
        <v>118</v>
      </c>
    </row>
    <row r="31" spans="1:17" x14ac:dyDescent="0.2">
      <c r="Q31" t="s">
        <v>177</v>
      </c>
    </row>
    <row r="32" spans="1:17" x14ac:dyDescent="0.2">
      <c r="Q32" t="s">
        <v>108</v>
      </c>
    </row>
    <row r="33" spans="17:29" x14ac:dyDescent="0.2">
      <c r="Q33" t="s">
        <v>122</v>
      </c>
    </row>
    <row r="34" spans="17:29" x14ac:dyDescent="0.2">
      <c r="Q34" t="s">
        <v>123</v>
      </c>
    </row>
    <row r="35" spans="17:29" x14ac:dyDescent="0.2">
      <c r="Q35" t="s">
        <v>103</v>
      </c>
    </row>
    <row r="37" spans="17:29" ht="15" x14ac:dyDescent="0.25">
      <c r="Q37" s="29" t="s">
        <v>119</v>
      </c>
    </row>
    <row r="38" spans="17:29" x14ac:dyDescent="0.2">
      <c r="Q38" t="s">
        <v>109</v>
      </c>
    </row>
    <row r="39" spans="17:29" x14ac:dyDescent="0.2">
      <c r="Q39" t="s">
        <v>107</v>
      </c>
    </row>
    <row r="40" spans="17:29" x14ac:dyDescent="0.2">
      <c r="Q40" t="s">
        <v>120</v>
      </c>
    </row>
    <row r="41" spans="17:29" x14ac:dyDescent="0.2">
      <c r="Q41" t="s">
        <v>121</v>
      </c>
    </row>
    <row r="42" spans="17:29" ht="15" x14ac:dyDescent="0.25">
      <c r="Q42" t="s">
        <v>110</v>
      </c>
    </row>
    <row r="43" spans="17:29" ht="15" x14ac:dyDescent="0.25">
      <c r="AB43" s="29"/>
      <c r="AC43" s="29"/>
    </row>
    <row r="44" spans="17:29" ht="15" x14ac:dyDescent="0.25">
      <c r="Q44" s="29" t="s">
        <v>96</v>
      </c>
      <c r="R44" s="29"/>
      <c r="S44" s="29"/>
    </row>
    <row r="45" spans="17:29" ht="15" x14ac:dyDescent="0.25">
      <c r="Q45" t="s">
        <v>111</v>
      </c>
    </row>
  </sheetData>
  <pageMargins left="0" right="0" top="0.39409448818897641" bottom="0.39409448818897641" header="0" footer="0"/>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67"/>
  <sheetViews>
    <sheetView topLeftCell="A34" zoomScale="115" zoomScaleNormal="115" workbookViewId="0">
      <selection activeCell="J19" sqref="J19"/>
    </sheetView>
  </sheetViews>
  <sheetFormatPr baseColWidth="10" defaultRowHeight="14.25" x14ac:dyDescent="0.2"/>
  <cols>
    <col min="1" max="1" width="15.875" customWidth="1"/>
    <col min="3" max="3" width="7.125" customWidth="1"/>
    <col min="4" max="4" width="10" customWidth="1"/>
    <col min="5" max="5" width="12.25" customWidth="1"/>
    <col min="6" max="6" width="7.625" customWidth="1"/>
    <col min="8" max="8" width="8.375" customWidth="1"/>
    <col min="9" max="9" width="11.375" customWidth="1"/>
    <col min="10" max="19" width="7.25" customWidth="1"/>
    <col min="20" max="20" width="4" customWidth="1"/>
  </cols>
  <sheetData>
    <row r="1" spans="1:23" ht="15.75" thickBot="1" x14ac:dyDescent="0.3">
      <c r="A1" t="s">
        <v>23</v>
      </c>
      <c r="B1" s="13">
        <v>40</v>
      </c>
      <c r="C1" s="202" t="s">
        <v>213</v>
      </c>
      <c r="D1" s="203" t="s">
        <v>16</v>
      </c>
      <c r="E1" s="204"/>
      <c r="F1" s="204"/>
      <c r="G1" s="204"/>
      <c r="H1" s="205"/>
      <c r="I1" s="67" t="s">
        <v>18</v>
      </c>
      <c r="J1" s="33">
        <v>100</v>
      </c>
      <c r="K1" s="34" t="s">
        <v>20</v>
      </c>
      <c r="L1" s="32" t="s">
        <v>21</v>
      </c>
      <c r="M1" s="32"/>
      <c r="N1" s="32"/>
      <c r="O1" s="32"/>
      <c r="P1" s="32"/>
      <c r="Q1" s="32"/>
      <c r="R1" s="32"/>
      <c r="S1" s="32"/>
      <c r="U1" s="29" t="s">
        <v>104</v>
      </c>
      <c r="W1" t="s">
        <v>98</v>
      </c>
    </row>
    <row r="2" spans="1:23" ht="15" x14ac:dyDescent="0.25">
      <c r="A2" s="71" t="s">
        <v>25</v>
      </c>
      <c r="B2" s="72">
        <v>1</v>
      </c>
      <c r="D2" s="29" t="s">
        <v>131</v>
      </c>
      <c r="H2" s="164"/>
      <c r="I2" t="s">
        <v>19</v>
      </c>
      <c r="J2" s="31">
        <v>120</v>
      </c>
      <c r="K2" s="31">
        <f>J2+20</f>
        <v>140</v>
      </c>
      <c r="L2" s="31">
        <f t="shared" ref="L2:S2" si="0">K2+20</f>
        <v>160</v>
      </c>
      <c r="M2" s="31">
        <f t="shared" si="0"/>
        <v>180</v>
      </c>
      <c r="N2" s="31">
        <f t="shared" si="0"/>
        <v>200</v>
      </c>
      <c r="O2" s="31">
        <f t="shared" si="0"/>
        <v>220</v>
      </c>
      <c r="P2" s="31">
        <f t="shared" si="0"/>
        <v>240</v>
      </c>
      <c r="Q2" s="31">
        <f t="shared" si="0"/>
        <v>260</v>
      </c>
      <c r="R2" s="31">
        <f t="shared" si="0"/>
        <v>280</v>
      </c>
      <c r="S2" s="31">
        <f t="shared" si="0"/>
        <v>300</v>
      </c>
      <c r="U2" t="s">
        <v>85</v>
      </c>
    </row>
    <row r="3" spans="1:23" ht="15" thickBot="1" x14ac:dyDescent="0.25">
      <c r="A3" s="44" t="s">
        <v>12</v>
      </c>
      <c r="B3" s="45">
        <v>0.6</v>
      </c>
      <c r="C3" s="46"/>
      <c r="D3" s="47"/>
      <c r="E3" s="13">
        <v>0.8</v>
      </c>
      <c r="F3" s="2"/>
      <c r="G3" s="2"/>
      <c r="H3" s="16" t="s">
        <v>7</v>
      </c>
      <c r="I3" s="30">
        <v>10</v>
      </c>
      <c r="J3" s="28">
        <f>(J$2-$J$1)/$J$1*$I3/60</f>
        <v>3.3333333333333333E-2</v>
      </c>
      <c r="K3" s="28">
        <f t="shared" ref="K3:S3" si="1">(K$2-$J$1)/$J$1*$I3/60</f>
        <v>6.6666666666666666E-2</v>
      </c>
      <c r="L3" s="28">
        <f t="shared" si="1"/>
        <v>0.1</v>
      </c>
      <c r="M3" s="28">
        <f t="shared" si="1"/>
        <v>0.13333333333333333</v>
      </c>
      <c r="N3" s="28">
        <f t="shared" si="1"/>
        <v>0.16666666666666666</v>
      </c>
      <c r="O3" s="28">
        <f t="shared" si="1"/>
        <v>0.2</v>
      </c>
      <c r="P3" s="28">
        <f t="shared" si="1"/>
        <v>0.23333333333333334</v>
      </c>
      <c r="Q3" s="28">
        <f t="shared" si="1"/>
        <v>0.26666666666666666</v>
      </c>
      <c r="R3" s="28">
        <f t="shared" si="1"/>
        <v>0.3</v>
      </c>
      <c r="S3" s="28">
        <f t="shared" si="1"/>
        <v>0.33333333333333331</v>
      </c>
    </row>
    <row r="4" spans="1:23" ht="16.5" thickTop="1" thickBot="1" x14ac:dyDescent="0.3">
      <c r="A4" s="65" t="s">
        <v>11</v>
      </c>
      <c r="B4" s="5" t="s">
        <v>13</v>
      </c>
      <c r="C4" s="4" t="s">
        <v>2</v>
      </c>
      <c r="D4" s="6" t="s">
        <v>3</v>
      </c>
      <c r="E4" s="4" t="s">
        <v>14</v>
      </c>
      <c r="F4" s="4" t="s">
        <v>5</v>
      </c>
      <c r="G4" s="4" t="s">
        <v>6</v>
      </c>
      <c r="H4" s="75" t="s">
        <v>27</v>
      </c>
      <c r="I4" s="30">
        <f>I3+5</f>
        <v>15</v>
      </c>
      <c r="J4" s="28">
        <f t="shared" ref="J4:S19" si="2">(J$2-$J$1)/$J$1*$I4/60</f>
        <v>0.05</v>
      </c>
      <c r="K4" s="28">
        <f t="shared" si="2"/>
        <v>0.1</v>
      </c>
      <c r="L4" s="28">
        <f t="shared" si="2"/>
        <v>0.15</v>
      </c>
      <c r="M4" s="28">
        <f t="shared" si="2"/>
        <v>0.2</v>
      </c>
      <c r="N4" s="28">
        <f t="shared" si="2"/>
        <v>0.25</v>
      </c>
      <c r="O4" s="28">
        <f t="shared" si="2"/>
        <v>0.3</v>
      </c>
      <c r="P4" s="28">
        <f t="shared" si="2"/>
        <v>0.35</v>
      </c>
      <c r="Q4" s="28">
        <f t="shared" si="2"/>
        <v>0.4</v>
      </c>
      <c r="R4" s="35">
        <f t="shared" si="2"/>
        <v>0.45</v>
      </c>
      <c r="S4" s="35">
        <f t="shared" si="2"/>
        <v>0.5</v>
      </c>
      <c r="U4" s="29" t="s">
        <v>178</v>
      </c>
    </row>
    <row r="5" spans="1:23" x14ac:dyDescent="0.2">
      <c r="A5" s="27">
        <v>0</v>
      </c>
      <c r="B5" s="7">
        <f t="shared" ref="B5:B61" si="3">1+$A5*B$3</f>
        <v>1</v>
      </c>
      <c r="C5" s="8">
        <f t="shared" ref="C5:C20" si="4">$B$1/B5</f>
        <v>40</v>
      </c>
      <c r="D5" s="47">
        <f t="shared" ref="D5:D20" si="5">+$B$2*$B$1/C5</f>
        <v>1</v>
      </c>
      <c r="E5" s="11">
        <f t="shared" ref="E5:E61" si="6">1+$A5*E$3</f>
        <v>1</v>
      </c>
      <c r="F5" s="11">
        <f t="shared" ref="F5:F20" si="7">$B$1/E5</f>
        <v>40</v>
      </c>
      <c r="G5" s="70">
        <f t="shared" ref="G5:G20" si="8">+$B$2*$B$1/F5</f>
        <v>1</v>
      </c>
      <c r="H5" s="24">
        <v>0</v>
      </c>
      <c r="I5" s="30">
        <f t="shared" ref="I5:I19" si="9">I4+5</f>
        <v>20</v>
      </c>
      <c r="J5" s="28">
        <f t="shared" si="2"/>
        <v>6.6666666666666666E-2</v>
      </c>
      <c r="K5" s="28">
        <f t="shared" si="2"/>
        <v>0.13333333333333333</v>
      </c>
      <c r="L5" s="28">
        <f t="shared" si="2"/>
        <v>0.2</v>
      </c>
      <c r="M5" s="28">
        <f t="shared" si="2"/>
        <v>0.26666666666666666</v>
      </c>
      <c r="N5" s="28">
        <f t="shared" si="2"/>
        <v>0.33333333333333331</v>
      </c>
      <c r="O5" s="28">
        <f t="shared" si="2"/>
        <v>0.4</v>
      </c>
      <c r="P5" s="35">
        <f t="shared" si="2"/>
        <v>0.46666666666666667</v>
      </c>
      <c r="Q5" s="35">
        <f t="shared" si="2"/>
        <v>0.53333333333333333</v>
      </c>
      <c r="R5" s="35">
        <f t="shared" si="2"/>
        <v>0.6</v>
      </c>
      <c r="S5" s="28">
        <f t="shared" si="2"/>
        <v>0.66666666666666663</v>
      </c>
      <c r="U5" t="s">
        <v>127</v>
      </c>
    </row>
    <row r="6" spans="1:23" x14ac:dyDescent="0.2">
      <c r="A6" s="28">
        <v>3.3329999999999999E-2</v>
      </c>
      <c r="B6" s="37">
        <f t="shared" si="3"/>
        <v>1.019998</v>
      </c>
      <c r="C6" s="10">
        <f t="shared" si="4"/>
        <v>39.215763168163079</v>
      </c>
      <c r="D6" s="38">
        <f t="shared" si="5"/>
        <v>1.019998</v>
      </c>
      <c r="E6" s="39">
        <f t="shared" si="6"/>
        <v>1.026664</v>
      </c>
      <c r="F6" s="12">
        <f t="shared" si="7"/>
        <v>38.961140158805605</v>
      </c>
      <c r="G6" s="39">
        <f t="shared" si="8"/>
        <v>1.026664</v>
      </c>
      <c r="H6" s="24">
        <f t="shared" ref="H6:H20" si="10">G6/D6-1</f>
        <v>6.5353069319744606E-3</v>
      </c>
      <c r="I6" s="30">
        <f t="shared" si="9"/>
        <v>25</v>
      </c>
      <c r="J6" s="28">
        <f t="shared" si="2"/>
        <v>8.3333333333333329E-2</v>
      </c>
      <c r="K6" s="28">
        <f t="shared" si="2"/>
        <v>0.16666666666666666</v>
      </c>
      <c r="L6" s="28">
        <f t="shared" si="2"/>
        <v>0.25</v>
      </c>
      <c r="M6" s="28">
        <f t="shared" si="2"/>
        <v>0.33333333333333331</v>
      </c>
      <c r="N6" s="28">
        <f t="shared" si="2"/>
        <v>0.41666666666666669</v>
      </c>
      <c r="O6" s="35">
        <f t="shared" si="2"/>
        <v>0.5</v>
      </c>
      <c r="P6" s="35">
        <f t="shared" si="2"/>
        <v>0.58333333333333337</v>
      </c>
      <c r="Q6" s="28">
        <f t="shared" si="2"/>
        <v>0.66666666666666663</v>
      </c>
      <c r="R6" s="28">
        <f t="shared" si="2"/>
        <v>0.75</v>
      </c>
      <c r="S6" s="28">
        <f t="shared" si="2"/>
        <v>0.83333333333333337</v>
      </c>
      <c r="U6" t="s">
        <v>86</v>
      </c>
    </row>
    <row r="7" spans="1:23" x14ac:dyDescent="0.2">
      <c r="A7" s="28">
        <f>A6+0.0333</f>
        <v>6.6629999999999995E-2</v>
      </c>
      <c r="B7" s="37">
        <f t="shared" si="3"/>
        <v>1.0399780000000001</v>
      </c>
      <c r="C7" s="10">
        <f t="shared" si="4"/>
        <v>38.462352088217251</v>
      </c>
      <c r="D7" s="38">
        <f t="shared" si="5"/>
        <v>1.0399780000000001</v>
      </c>
      <c r="E7" s="39">
        <f t="shared" si="6"/>
        <v>1.053304</v>
      </c>
      <c r="F7" s="12">
        <f t="shared" si="7"/>
        <v>37.975741096587498</v>
      </c>
      <c r="G7" s="39">
        <f t="shared" si="8"/>
        <v>1.053304</v>
      </c>
      <c r="H7" s="24">
        <f t="shared" si="10"/>
        <v>1.2813732598189631E-2</v>
      </c>
      <c r="I7" s="30">
        <f t="shared" si="9"/>
        <v>30</v>
      </c>
      <c r="J7" s="28">
        <f t="shared" si="2"/>
        <v>0.1</v>
      </c>
      <c r="K7" s="28">
        <f t="shared" si="2"/>
        <v>0.2</v>
      </c>
      <c r="L7" s="28">
        <f t="shared" si="2"/>
        <v>0.3</v>
      </c>
      <c r="M7" s="28">
        <f t="shared" si="2"/>
        <v>0.4</v>
      </c>
      <c r="N7" s="35">
        <f t="shared" si="2"/>
        <v>0.5</v>
      </c>
      <c r="O7" s="28">
        <f t="shared" si="2"/>
        <v>0.6</v>
      </c>
      <c r="P7" s="28">
        <f t="shared" si="2"/>
        <v>0.7</v>
      </c>
      <c r="Q7" s="28">
        <f t="shared" si="2"/>
        <v>0.8</v>
      </c>
      <c r="R7" s="28">
        <f t="shared" si="2"/>
        <v>0.9</v>
      </c>
      <c r="S7" s="28">
        <f t="shared" si="2"/>
        <v>1</v>
      </c>
      <c r="U7" t="s">
        <v>164</v>
      </c>
    </row>
    <row r="8" spans="1:23" x14ac:dyDescent="0.2">
      <c r="A8" s="28">
        <f t="shared" ref="A8:A43" si="11">A7+0.0333</f>
        <v>9.9929999999999991E-2</v>
      </c>
      <c r="B8" s="37">
        <f t="shared" si="3"/>
        <v>1.059958</v>
      </c>
      <c r="C8" s="10">
        <f t="shared" si="4"/>
        <v>37.737344309868881</v>
      </c>
      <c r="D8" s="38">
        <f t="shared" si="5"/>
        <v>1.059958</v>
      </c>
      <c r="E8" s="39">
        <f t="shared" si="6"/>
        <v>1.079944</v>
      </c>
      <c r="F8" s="12">
        <f t="shared" si="7"/>
        <v>37.038957575577996</v>
      </c>
      <c r="G8" s="39">
        <f t="shared" si="8"/>
        <v>1.079944</v>
      </c>
      <c r="H8" s="24">
        <f t="shared" si="10"/>
        <v>1.8855464084426066E-2</v>
      </c>
      <c r="I8" s="30">
        <f t="shared" si="9"/>
        <v>35</v>
      </c>
      <c r="J8" s="28">
        <f t="shared" si="2"/>
        <v>0.11666666666666667</v>
      </c>
      <c r="K8" s="28">
        <f t="shared" si="2"/>
        <v>0.23333333333333334</v>
      </c>
      <c r="L8" s="28">
        <f t="shared" si="2"/>
        <v>0.35</v>
      </c>
      <c r="M8" s="28">
        <f t="shared" si="2"/>
        <v>0.46666666666666667</v>
      </c>
      <c r="N8" s="35">
        <f t="shared" si="2"/>
        <v>0.58333333333333337</v>
      </c>
      <c r="O8" s="28">
        <f t="shared" si="2"/>
        <v>0.7</v>
      </c>
      <c r="P8" s="28">
        <f t="shared" si="2"/>
        <v>0.81666666666666665</v>
      </c>
      <c r="Q8" s="28">
        <f t="shared" si="2"/>
        <v>0.93333333333333335</v>
      </c>
      <c r="R8" s="28">
        <f t="shared" si="2"/>
        <v>1.05</v>
      </c>
      <c r="S8" s="28">
        <f t="shared" si="2"/>
        <v>1.1666666666666667</v>
      </c>
      <c r="U8" t="s">
        <v>88</v>
      </c>
    </row>
    <row r="9" spans="1:23" x14ac:dyDescent="0.2">
      <c r="A9" s="28">
        <f t="shared" si="11"/>
        <v>0.13322999999999999</v>
      </c>
      <c r="B9" s="37">
        <f t="shared" si="3"/>
        <v>1.0799380000000001</v>
      </c>
      <c r="C9" s="10">
        <f t="shared" si="4"/>
        <v>37.039163359378037</v>
      </c>
      <c r="D9" s="38">
        <f t="shared" si="5"/>
        <v>1.0799380000000001</v>
      </c>
      <c r="E9" s="39">
        <f t="shared" si="6"/>
        <v>1.106584</v>
      </c>
      <c r="F9" s="12">
        <f t="shared" si="7"/>
        <v>36.147278471403887</v>
      </c>
      <c r="G9" s="39">
        <f t="shared" si="8"/>
        <v>1.106584</v>
      </c>
      <c r="H9" s="24">
        <f t="shared" si="10"/>
        <v>2.4673638671849574E-2</v>
      </c>
      <c r="I9" s="30">
        <f t="shared" si="9"/>
        <v>40</v>
      </c>
      <c r="J9" s="28">
        <f t="shared" si="2"/>
        <v>0.13333333333333333</v>
      </c>
      <c r="K9" s="28">
        <f t="shared" si="2"/>
        <v>0.26666666666666666</v>
      </c>
      <c r="L9" s="28">
        <f t="shared" si="2"/>
        <v>0.4</v>
      </c>
      <c r="M9" s="35">
        <f t="shared" si="2"/>
        <v>0.53333333333333333</v>
      </c>
      <c r="N9" s="28">
        <f t="shared" si="2"/>
        <v>0.66666666666666663</v>
      </c>
      <c r="O9" s="28">
        <f t="shared" si="2"/>
        <v>0.8</v>
      </c>
      <c r="P9" s="28">
        <f t="shared" si="2"/>
        <v>0.93333333333333335</v>
      </c>
      <c r="Q9" s="28">
        <f t="shared" si="2"/>
        <v>1.0666666666666667</v>
      </c>
      <c r="R9" s="28">
        <f t="shared" si="2"/>
        <v>1.2</v>
      </c>
      <c r="S9" s="28">
        <f t="shared" si="2"/>
        <v>1.3333333333333333</v>
      </c>
      <c r="U9" t="s">
        <v>184</v>
      </c>
    </row>
    <row r="10" spans="1:23" x14ac:dyDescent="0.2">
      <c r="A10" s="28">
        <f t="shared" si="11"/>
        <v>0.16652999999999998</v>
      </c>
      <c r="B10" s="37">
        <f t="shared" si="3"/>
        <v>1.099918</v>
      </c>
      <c r="C10" s="10">
        <f t="shared" si="4"/>
        <v>36.366347309526709</v>
      </c>
      <c r="D10" s="38">
        <f t="shared" si="5"/>
        <v>1.099918</v>
      </c>
      <c r="E10" s="39">
        <f t="shared" si="6"/>
        <v>1.133224</v>
      </c>
      <c r="F10" s="12">
        <f t="shared" si="7"/>
        <v>35.297522819848503</v>
      </c>
      <c r="G10" s="39">
        <f t="shared" si="8"/>
        <v>1.133224</v>
      </c>
      <c r="H10" s="24">
        <f t="shared" si="10"/>
        <v>3.0280439087277511E-2</v>
      </c>
      <c r="I10" s="30">
        <f t="shared" si="9"/>
        <v>45</v>
      </c>
      <c r="J10" s="28">
        <f t="shared" si="2"/>
        <v>0.15</v>
      </c>
      <c r="K10" s="28">
        <f t="shared" si="2"/>
        <v>0.3</v>
      </c>
      <c r="L10" s="28">
        <f t="shared" si="2"/>
        <v>0.45</v>
      </c>
      <c r="M10" s="28">
        <f t="shared" si="2"/>
        <v>0.6</v>
      </c>
      <c r="N10" s="28">
        <f t="shared" si="2"/>
        <v>0.75</v>
      </c>
      <c r="O10" s="28">
        <f t="shared" si="2"/>
        <v>0.9</v>
      </c>
      <c r="P10" s="28">
        <f t="shared" si="2"/>
        <v>1.0499999999999998</v>
      </c>
      <c r="Q10" s="28">
        <f t="shared" si="2"/>
        <v>1.2</v>
      </c>
      <c r="R10" s="28">
        <f t="shared" si="2"/>
        <v>1.35</v>
      </c>
      <c r="S10" s="28">
        <f t="shared" si="2"/>
        <v>1.5</v>
      </c>
      <c r="U10" t="s">
        <v>189</v>
      </c>
    </row>
    <row r="11" spans="1:23" ht="15" x14ac:dyDescent="0.25">
      <c r="A11" s="28">
        <f t="shared" si="11"/>
        <v>0.19982999999999998</v>
      </c>
      <c r="B11" s="37">
        <f t="shared" si="3"/>
        <v>1.1198980000000001</v>
      </c>
      <c r="C11" s="10">
        <f t="shared" si="4"/>
        <v>35.71753856154757</v>
      </c>
      <c r="D11" s="38">
        <f t="shared" si="5"/>
        <v>1.1198980000000001</v>
      </c>
      <c r="E11" s="39">
        <f t="shared" si="6"/>
        <v>1.159864</v>
      </c>
      <c r="F11" s="12">
        <f t="shared" si="7"/>
        <v>34.486801900912518</v>
      </c>
      <c r="G11" s="39">
        <f t="shared" si="8"/>
        <v>1.159864</v>
      </c>
      <c r="H11" s="24">
        <f t="shared" si="10"/>
        <v>3.5687178653770246E-2</v>
      </c>
      <c r="I11" s="30">
        <f t="shared" si="9"/>
        <v>50</v>
      </c>
      <c r="J11" s="28">
        <f t="shared" si="2"/>
        <v>0.16666666666666666</v>
      </c>
      <c r="K11" s="28">
        <f t="shared" si="2"/>
        <v>0.33333333333333331</v>
      </c>
      <c r="L11" s="35">
        <f t="shared" si="2"/>
        <v>0.5</v>
      </c>
      <c r="M11" s="28">
        <f t="shared" si="2"/>
        <v>0.66666666666666663</v>
      </c>
      <c r="N11" s="28">
        <f t="shared" si="2"/>
        <v>0.83333333333333337</v>
      </c>
      <c r="O11" s="28">
        <f t="shared" si="2"/>
        <v>1</v>
      </c>
      <c r="P11" s="28">
        <f t="shared" si="2"/>
        <v>1.1666666666666667</v>
      </c>
      <c r="Q11" s="28">
        <f t="shared" si="2"/>
        <v>1.3333333333333333</v>
      </c>
      <c r="R11" s="28">
        <f t="shared" si="2"/>
        <v>1.5</v>
      </c>
      <c r="S11" s="28">
        <f t="shared" si="2"/>
        <v>1.6666666666666667</v>
      </c>
      <c r="U11" t="s">
        <v>190</v>
      </c>
    </row>
    <row r="12" spans="1:23" x14ac:dyDescent="0.2">
      <c r="A12" s="28">
        <f t="shared" si="11"/>
        <v>0.23312999999999998</v>
      </c>
      <c r="B12" s="37">
        <f t="shared" si="3"/>
        <v>1.1398779999999999</v>
      </c>
      <c r="C12" s="10">
        <f t="shared" si="4"/>
        <v>35.0914747016786</v>
      </c>
      <c r="D12" s="38">
        <f t="shared" si="5"/>
        <v>1.1398779999999999</v>
      </c>
      <c r="E12" s="39">
        <f t="shared" si="6"/>
        <v>1.186504</v>
      </c>
      <c r="F12" s="12">
        <f t="shared" si="7"/>
        <v>33.712486430724212</v>
      </c>
      <c r="G12" s="39">
        <f t="shared" si="8"/>
        <v>1.186504</v>
      </c>
      <c r="H12" s="24">
        <f t="shared" si="10"/>
        <v>4.0904377486011612E-2</v>
      </c>
      <c r="I12" s="30">
        <f t="shared" si="9"/>
        <v>55</v>
      </c>
      <c r="J12" s="28">
        <f t="shared" si="2"/>
        <v>0.18333333333333332</v>
      </c>
      <c r="K12" s="28">
        <f t="shared" si="2"/>
        <v>0.36666666666666664</v>
      </c>
      <c r="L12" s="35">
        <f t="shared" si="2"/>
        <v>0.55000000000000004</v>
      </c>
      <c r="M12" s="28">
        <f t="shared" si="2"/>
        <v>0.73333333333333328</v>
      </c>
      <c r="N12" s="28">
        <f t="shared" si="2"/>
        <v>0.91666666666666663</v>
      </c>
      <c r="O12" s="28">
        <f t="shared" si="2"/>
        <v>1.1000000000000001</v>
      </c>
      <c r="P12" s="28">
        <f t="shared" si="2"/>
        <v>1.2833333333333334</v>
      </c>
      <c r="Q12" s="28">
        <f t="shared" si="2"/>
        <v>1.4666666666666666</v>
      </c>
      <c r="R12" s="28">
        <f t="shared" si="2"/>
        <v>1.65</v>
      </c>
      <c r="S12" s="28">
        <f t="shared" si="2"/>
        <v>1.8333333333333333</v>
      </c>
      <c r="U12" t="s">
        <v>191</v>
      </c>
    </row>
    <row r="13" spans="1:23" x14ac:dyDescent="0.2">
      <c r="A13" s="28">
        <f t="shared" si="11"/>
        <v>0.26643</v>
      </c>
      <c r="B13" s="37">
        <f t="shared" si="3"/>
        <v>1.1598580000000001</v>
      </c>
      <c r="C13" s="19">
        <f t="shared" si="4"/>
        <v>34.486980302761197</v>
      </c>
      <c r="D13" s="38">
        <f t="shared" si="5"/>
        <v>1.1598580000000001</v>
      </c>
      <c r="E13" s="39">
        <f t="shared" si="6"/>
        <v>1.213144</v>
      </c>
      <c r="F13" s="22">
        <f t="shared" si="7"/>
        <v>32.97217807613935</v>
      </c>
      <c r="G13" s="40">
        <f t="shared" si="8"/>
        <v>1.2131440000000002</v>
      </c>
      <c r="H13" s="26">
        <f t="shared" si="10"/>
        <v>4.5941830810323436E-2</v>
      </c>
      <c r="I13" s="30">
        <f t="shared" si="9"/>
        <v>60</v>
      </c>
      <c r="J13" s="28">
        <f t="shared" si="2"/>
        <v>0.2</v>
      </c>
      <c r="K13" s="28">
        <f t="shared" si="2"/>
        <v>0.4</v>
      </c>
      <c r="L13" s="28">
        <f t="shared" si="2"/>
        <v>0.6</v>
      </c>
      <c r="M13" s="28">
        <f t="shared" si="2"/>
        <v>0.8</v>
      </c>
      <c r="N13" s="28">
        <f t="shared" si="2"/>
        <v>1</v>
      </c>
      <c r="O13" s="28">
        <f t="shared" si="2"/>
        <v>1.2</v>
      </c>
      <c r="P13" s="28">
        <f t="shared" si="2"/>
        <v>1.4</v>
      </c>
      <c r="Q13" s="28">
        <f t="shared" si="2"/>
        <v>1.6</v>
      </c>
      <c r="R13" s="28">
        <f t="shared" si="2"/>
        <v>1.8</v>
      </c>
      <c r="S13" s="28">
        <f t="shared" si="2"/>
        <v>2</v>
      </c>
      <c r="U13" t="s">
        <v>89</v>
      </c>
    </row>
    <row r="14" spans="1:23" x14ac:dyDescent="0.2">
      <c r="A14" s="28">
        <f t="shared" si="11"/>
        <v>0.29973</v>
      </c>
      <c r="B14" s="37">
        <f t="shared" si="3"/>
        <v>1.1798379999999999</v>
      </c>
      <c r="C14" s="10">
        <f t="shared" si="4"/>
        <v>33.90295955885469</v>
      </c>
      <c r="D14" s="38">
        <f t="shared" si="5"/>
        <v>1.1798379999999999</v>
      </c>
      <c r="E14" s="39">
        <f t="shared" si="6"/>
        <v>1.239784</v>
      </c>
      <c r="F14" s="12">
        <f t="shared" si="7"/>
        <v>32.26368464184084</v>
      </c>
      <c r="G14" s="39">
        <f t="shared" si="8"/>
        <v>1.239784</v>
      </c>
      <c r="H14" s="24">
        <f t="shared" si="10"/>
        <v>5.0808670342877615E-2</v>
      </c>
      <c r="I14" s="30">
        <f t="shared" si="9"/>
        <v>65</v>
      </c>
      <c r="J14" s="28">
        <f t="shared" si="2"/>
        <v>0.21666666666666667</v>
      </c>
      <c r="K14" s="28">
        <f t="shared" si="2"/>
        <v>0.43333333333333335</v>
      </c>
      <c r="L14" s="28">
        <f t="shared" si="2"/>
        <v>0.65</v>
      </c>
      <c r="M14" s="28">
        <f t="shared" si="2"/>
        <v>0.8666666666666667</v>
      </c>
      <c r="N14" s="28">
        <f t="shared" si="2"/>
        <v>1.0833333333333333</v>
      </c>
      <c r="O14" s="28">
        <f t="shared" si="2"/>
        <v>1.3</v>
      </c>
      <c r="P14" s="28">
        <f t="shared" si="2"/>
        <v>1.5166666666666666</v>
      </c>
      <c r="Q14" s="28">
        <f t="shared" si="2"/>
        <v>1.7333333333333334</v>
      </c>
      <c r="R14" s="28">
        <f t="shared" si="2"/>
        <v>1.95</v>
      </c>
      <c r="S14" s="28">
        <f t="shared" si="2"/>
        <v>2.1666666666666665</v>
      </c>
      <c r="U14" t="s">
        <v>87</v>
      </c>
    </row>
    <row r="15" spans="1:23" x14ac:dyDescent="0.2">
      <c r="A15" s="28">
        <f t="shared" si="11"/>
        <v>0.33302999999999999</v>
      </c>
      <c r="B15" s="37">
        <f t="shared" si="3"/>
        <v>1.1998180000000001</v>
      </c>
      <c r="C15" s="10">
        <f t="shared" si="4"/>
        <v>33.338389655764459</v>
      </c>
      <c r="D15" s="38">
        <f t="shared" si="5"/>
        <v>1.1998180000000001</v>
      </c>
      <c r="E15" s="39">
        <f t="shared" si="6"/>
        <v>1.266424</v>
      </c>
      <c r="F15" s="12">
        <f t="shared" si="7"/>
        <v>31.584998389165083</v>
      </c>
      <c r="G15" s="39">
        <f t="shared" si="8"/>
        <v>1.266424</v>
      </c>
      <c r="H15" s="24">
        <f t="shared" si="10"/>
        <v>5.5513419535296205E-2</v>
      </c>
      <c r="I15" s="30">
        <f t="shared" si="9"/>
        <v>70</v>
      </c>
      <c r="J15" s="28">
        <f t="shared" si="2"/>
        <v>0.23333333333333334</v>
      </c>
      <c r="K15" s="28">
        <f t="shared" si="2"/>
        <v>0.46666666666666667</v>
      </c>
      <c r="L15" s="28">
        <f t="shared" si="2"/>
        <v>0.7</v>
      </c>
      <c r="M15" s="28">
        <f t="shared" si="2"/>
        <v>0.93333333333333335</v>
      </c>
      <c r="N15" s="28">
        <f t="shared" si="2"/>
        <v>1.1666666666666667</v>
      </c>
      <c r="O15" s="28">
        <f t="shared" si="2"/>
        <v>1.4</v>
      </c>
      <c r="P15" s="28">
        <f t="shared" si="2"/>
        <v>1.6333333333333333</v>
      </c>
      <c r="Q15" s="28">
        <f t="shared" si="2"/>
        <v>1.8666666666666667</v>
      </c>
      <c r="R15" s="28">
        <f t="shared" si="2"/>
        <v>2.1</v>
      </c>
      <c r="S15" s="28">
        <f t="shared" si="2"/>
        <v>2.3333333333333335</v>
      </c>
      <c r="U15" t="s">
        <v>90</v>
      </c>
    </row>
    <row r="16" spans="1:23" x14ac:dyDescent="0.2">
      <c r="A16" s="28">
        <f t="shared" si="11"/>
        <v>0.36632999999999999</v>
      </c>
      <c r="B16" s="37">
        <f t="shared" si="3"/>
        <v>1.2197979999999999</v>
      </c>
      <c r="C16" s="10">
        <f t="shared" si="4"/>
        <v>32.792314793105092</v>
      </c>
      <c r="D16" s="38">
        <f t="shared" si="5"/>
        <v>1.2197979999999999</v>
      </c>
      <c r="E16" s="39">
        <f t="shared" si="6"/>
        <v>1.293064</v>
      </c>
      <c r="F16" s="12">
        <f t="shared" si="7"/>
        <v>30.934277035011416</v>
      </c>
      <c r="G16" s="39">
        <f t="shared" si="8"/>
        <v>1.293064</v>
      </c>
      <c r="H16" s="24">
        <f t="shared" si="10"/>
        <v>6.0064043390791078E-2</v>
      </c>
      <c r="I16" s="30">
        <f>I15+5</f>
        <v>75</v>
      </c>
      <c r="J16" s="28">
        <f t="shared" si="2"/>
        <v>0.25</v>
      </c>
      <c r="K16" s="28">
        <f t="shared" si="2"/>
        <v>0.5</v>
      </c>
      <c r="L16" s="28">
        <f t="shared" si="2"/>
        <v>0.75</v>
      </c>
      <c r="M16" s="28">
        <f t="shared" si="2"/>
        <v>1</v>
      </c>
      <c r="N16" s="28">
        <f t="shared" si="2"/>
        <v>1.25</v>
      </c>
      <c r="O16" s="28">
        <f t="shared" si="2"/>
        <v>1.5</v>
      </c>
      <c r="P16" s="28">
        <f t="shared" si="2"/>
        <v>1.75</v>
      </c>
      <c r="Q16" s="28">
        <f t="shared" si="2"/>
        <v>2</v>
      </c>
      <c r="R16" s="28">
        <f t="shared" si="2"/>
        <v>2.25</v>
      </c>
      <c r="S16" s="28">
        <f t="shared" si="2"/>
        <v>2.5</v>
      </c>
      <c r="U16" t="s">
        <v>185</v>
      </c>
    </row>
    <row r="17" spans="1:21" x14ac:dyDescent="0.2">
      <c r="A17" s="28">
        <f t="shared" si="11"/>
        <v>0.39962999999999999</v>
      </c>
      <c r="B17" s="37">
        <f t="shared" si="3"/>
        <v>1.239778</v>
      </c>
      <c r="C17" s="10">
        <f t="shared" si="4"/>
        <v>32.263840784398496</v>
      </c>
      <c r="D17" s="38">
        <f t="shared" si="5"/>
        <v>1.239778</v>
      </c>
      <c r="E17" s="39">
        <f t="shared" si="6"/>
        <v>1.319704</v>
      </c>
      <c r="F17" s="12">
        <f t="shared" si="7"/>
        <v>30.309827052126842</v>
      </c>
      <c r="G17" s="39">
        <f t="shared" si="8"/>
        <v>1.319704</v>
      </c>
      <c r="H17" s="24">
        <f t="shared" si="10"/>
        <v>6.4467993463345863E-2</v>
      </c>
      <c r="I17" s="30">
        <f t="shared" si="9"/>
        <v>80</v>
      </c>
      <c r="J17" s="28">
        <f t="shared" si="2"/>
        <v>0.26666666666666666</v>
      </c>
      <c r="K17" s="35">
        <f t="shared" si="2"/>
        <v>0.53333333333333333</v>
      </c>
      <c r="L17" s="28">
        <f t="shared" si="2"/>
        <v>0.8</v>
      </c>
      <c r="M17" s="28">
        <f t="shared" si="2"/>
        <v>1.0666666666666667</v>
      </c>
      <c r="N17" s="28">
        <f t="shared" si="2"/>
        <v>1.3333333333333333</v>
      </c>
      <c r="O17" s="28">
        <f t="shared" si="2"/>
        <v>1.6</v>
      </c>
      <c r="P17" s="28">
        <f t="shared" si="2"/>
        <v>1.8666666666666667</v>
      </c>
      <c r="Q17" s="28">
        <f t="shared" si="2"/>
        <v>2.1333333333333333</v>
      </c>
      <c r="R17" s="28">
        <f t="shared" si="2"/>
        <v>2.4</v>
      </c>
      <c r="S17" s="28">
        <f t="shared" si="2"/>
        <v>2.6666666666666665</v>
      </c>
      <c r="U17" t="s">
        <v>186</v>
      </c>
    </row>
    <row r="18" spans="1:21" ht="15" x14ac:dyDescent="0.25">
      <c r="A18" s="28">
        <f t="shared" si="11"/>
        <v>0.43292999999999998</v>
      </c>
      <c r="B18" s="37">
        <f t="shared" si="3"/>
        <v>1.2597579999999999</v>
      </c>
      <c r="C18" s="10">
        <f t="shared" si="4"/>
        <v>31.752130171032849</v>
      </c>
      <c r="D18" s="38">
        <f t="shared" si="5"/>
        <v>1.2597579999999999</v>
      </c>
      <c r="E18" s="39">
        <f t="shared" si="6"/>
        <v>1.346344</v>
      </c>
      <c r="F18" s="12">
        <f t="shared" si="7"/>
        <v>29.710088952006323</v>
      </c>
      <c r="G18" s="39">
        <f t="shared" si="8"/>
        <v>1.346344</v>
      </c>
      <c r="H18" s="24">
        <f t="shared" si="10"/>
        <v>6.8732248574726373E-2</v>
      </c>
      <c r="I18" s="30">
        <f t="shared" si="9"/>
        <v>85</v>
      </c>
      <c r="J18" s="28">
        <f t="shared" si="2"/>
        <v>0.28333333333333333</v>
      </c>
      <c r="K18" s="28">
        <f t="shared" si="2"/>
        <v>0.56666666666666665</v>
      </c>
      <c r="L18" s="28">
        <f t="shared" si="2"/>
        <v>0.85</v>
      </c>
      <c r="M18" s="28">
        <f t="shared" si="2"/>
        <v>1.1333333333333333</v>
      </c>
      <c r="N18" s="28">
        <f t="shared" si="2"/>
        <v>1.4166666666666667</v>
      </c>
      <c r="O18" s="28">
        <f t="shared" si="2"/>
        <v>1.7</v>
      </c>
      <c r="P18" s="28">
        <f t="shared" si="2"/>
        <v>1.9833333333333332</v>
      </c>
      <c r="Q18" s="28">
        <f t="shared" si="2"/>
        <v>2.2666666666666666</v>
      </c>
      <c r="R18" s="28">
        <f t="shared" si="2"/>
        <v>2.5499999999999998</v>
      </c>
      <c r="S18" s="28">
        <f t="shared" si="2"/>
        <v>2.8333333333333335</v>
      </c>
      <c r="U18" t="s">
        <v>95</v>
      </c>
    </row>
    <row r="19" spans="1:21" x14ac:dyDescent="0.2">
      <c r="A19" s="28">
        <f t="shared" si="11"/>
        <v>0.46622999999999998</v>
      </c>
      <c r="B19" s="37">
        <f t="shared" si="3"/>
        <v>1.279738</v>
      </c>
      <c r="C19" s="10">
        <f t="shared" si="4"/>
        <v>31.256397793923444</v>
      </c>
      <c r="D19" s="38">
        <f t="shared" si="5"/>
        <v>1.279738</v>
      </c>
      <c r="E19" s="39">
        <f t="shared" si="6"/>
        <v>1.372984</v>
      </c>
      <c r="F19" s="12">
        <f t="shared" si="7"/>
        <v>29.133624281127823</v>
      </c>
      <c r="G19" s="39">
        <f t="shared" si="8"/>
        <v>1.372984</v>
      </c>
      <c r="H19" s="24">
        <f t="shared" si="10"/>
        <v>7.2863351717304514E-2</v>
      </c>
      <c r="I19" s="30">
        <f t="shared" si="9"/>
        <v>90</v>
      </c>
      <c r="J19" s="28">
        <f t="shared" si="2"/>
        <v>0.3</v>
      </c>
      <c r="K19" s="28">
        <f t="shared" si="2"/>
        <v>0.6</v>
      </c>
      <c r="L19" s="28">
        <f t="shared" si="2"/>
        <v>0.9</v>
      </c>
      <c r="M19" s="28">
        <f t="shared" si="2"/>
        <v>1.2</v>
      </c>
      <c r="N19" s="28">
        <f t="shared" si="2"/>
        <v>1.5</v>
      </c>
      <c r="O19" s="28">
        <f t="shared" si="2"/>
        <v>1.8</v>
      </c>
      <c r="P19" s="28">
        <f t="shared" si="2"/>
        <v>2.0999999999999996</v>
      </c>
      <c r="Q19" s="28">
        <f t="shared" si="2"/>
        <v>2.4</v>
      </c>
      <c r="R19" s="28">
        <f t="shared" si="2"/>
        <v>2.7</v>
      </c>
      <c r="S19" s="28">
        <f t="shared" si="2"/>
        <v>3</v>
      </c>
    </row>
    <row r="20" spans="1:21" ht="15" x14ac:dyDescent="0.25">
      <c r="A20" s="28">
        <f t="shared" si="11"/>
        <v>0.49952999999999997</v>
      </c>
      <c r="B20" s="37">
        <f t="shared" si="3"/>
        <v>1.2997179999999999</v>
      </c>
      <c r="C20" s="10">
        <f t="shared" si="4"/>
        <v>30.775906773623202</v>
      </c>
      <c r="D20" s="38">
        <f t="shared" si="5"/>
        <v>1.2997179999999999</v>
      </c>
      <c r="E20" s="39">
        <f t="shared" si="6"/>
        <v>1.399624</v>
      </c>
      <c r="F20" s="12">
        <f t="shared" si="7"/>
        <v>28.579104102244603</v>
      </c>
      <c r="G20" s="39">
        <f t="shared" si="8"/>
        <v>1.399624</v>
      </c>
      <c r="H20" s="24">
        <f t="shared" si="10"/>
        <v>7.6867443553140014E-2</v>
      </c>
      <c r="U20" s="29" t="s">
        <v>179</v>
      </c>
    </row>
    <row r="21" spans="1:21" ht="15.75" thickBot="1" x14ac:dyDescent="0.3">
      <c r="A21" s="35">
        <f t="shared" si="11"/>
        <v>0.53283000000000003</v>
      </c>
      <c r="B21" s="37">
        <f t="shared" si="3"/>
        <v>1.319698</v>
      </c>
      <c r="C21" s="14">
        <f t="shared" ref="C21:C35" si="12">$B$1/B21</f>
        <v>30.309964855595748</v>
      </c>
      <c r="D21" s="38">
        <f t="shared" ref="D21:D35" si="13">+$B$2*$B$1/C21</f>
        <v>1.319698</v>
      </c>
      <c r="E21" s="39">
        <f t="shared" si="6"/>
        <v>1.426264</v>
      </c>
      <c r="F21" s="15">
        <f>$B$1/E21</f>
        <v>28.045298766567761</v>
      </c>
      <c r="G21" s="39">
        <f t="shared" ref="G21:G35" si="14">+$B$2*$B$1/F21</f>
        <v>1.426264</v>
      </c>
      <c r="H21" s="25">
        <f t="shared" ref="H21:H34" si="15">G21/D21-1</f>
        <v>8.0750292870035434E-2</v>
      </c>
      <c r="I21" s="66" t="s">
        <v>18</v>
      </c>
      <c r="J21" s="33">
        <v>74</v>
      </c>
      <c r="K21" s="34" t="s">
        <v>20</v>
      </c>
      <c r="L21" s="32" t="s">
        <v>21</v>
      </c>
      <c r="M21" s="32"/>
      <c r="N21" s="32"/>
      <c r="O21" s="32"/>
      <c r="P21" s="32"/>
      <c r="Q21" s="32"/>
      <c r="R21" s="32"/>
      <c r="S21" s="32"/>
      <c r="U21" t="s">
        <v>100</v>
      </c>
    </row>
    <row r="22" spans="1:21" x14ac:dyDescent="0.2">
      <c r="A22" s="28">
        <f t="shared" si="11"/>
        <v>0.56613000000000002</v>
      </c>
      <c r="B22" s="37">
        <f t="shared" si="3"/>
        <v>1.3396779999999999</v>
      </c>
      <c r="C22" s="10">
        <f t="shared" si="12"/>
        <v>29.85792108252879</v>
      </c>
      <c r="D22" s="38">
        <f t="shared" si="13"/>
        <v>1.3396779999999999</v>
      </c>
      <c r="E22" s="39">
        <f t="shared" si="6"/>
        <v>1.452904</v>
      </c>
      <c r="F22" s="12">
        <f t="shared" ref="F22:F35" si="16">$B$1/E22</f>
        <v>27.531068811153386</v>
      </c>
      <c r="G22" s="39">
        <f t="shared" si="14"/>
        <v>1.452904</v>
      </c>
      <c r="H22" s="24">
        <f t="shared" si="15"/>
        <v>8.4517324312260111E-2</v>
      </c>
      <c r="I22" t="s">
        <v>19</v>
      </c>
      <c r="J22" s="31">
        <v>120</v>
      </c>
      <c r="K22" s="31">
        <f>J22+20</f>
        <v>140</v>
      </c>
      <c r="L22" s="31">
        <f t="shared" ref="L22:S22" si="17">K22+20</f>
        <v>160</v>
      </c>
      <c r="M22" s="31">
        <f t="shared" si="17"/>
        <v>180</v>
      </c>
      <c r="N22" s="31">
        <f t="shared" si="17"/>
        <v>200</v>
      </c>
      <c r="O22" s="31">
        <f t="shared" si="17"/>
        <v>220</v>
      </c>
      <c r="P22" s="31">
        <f t="shared" si="17"/>
        <v>240</v>
      </c>
      <c r="Q22" s="31">
        <f t="shared" si="17"/>
        <v>260</v>
      </c>
      <c r="R22" s="31">
        <f t="shared" si="17"/>
        <v>280</v>
      </c>
      <c r="S22" s="31">
        <f t="shared" si="17"/>
        <v>300</v>
      </c>
      <c r="U22" t="s">
        <v>196</v>
      </c>
    </row>
    <row r="23" spans="1:21" x14ac:dyDescent="0.2">
      <c r="A23" s="28">
        <f t="shared" si="11"/>
        <v>0.59943000000000002</v>
      </c>
      <c r="B23" s="37">
        <f t="shared" si="3"/>
        <v>1.359658</v>
      </c>
      <c r="C23" s="10">
        <f t="shared" si="12"/>
        <v>29.419162760047012</v>
      </c>
      <c r="D23" s="38">
        <f t="shared" si="13"/>
        <v>1.359658</v>
      </c>
      <c r="E23" s="39">
        <f t="shared" si="6"/>
        <v>1.479544</v>
      </c>
      <c r="F23" s="12">
        <f t="shared" si="16"/>
        <v>27.035356839674929</v>
      </c>
      <c r="G23" s="39">
        <f t="shared" si="14"/>
        <v>1.479544</v>
      </c>
      <c r="H23" s="24">
        <f t="shared" si="15"/>
        <v>8.8173643666274781E-2</v>
      </c>
      <c r="I23" s="30">
        <v>10</v>
      </c>
      <c r="J23" s="28">
        <f>(J$22-$J$21)/$J$21*$I23/60</f>
        <v>0.1036036036036036</v>
      </c>
      <c r="K23" s="28">
        <f t="shared" ref="K23:S23" si="18">(K$22-$J$21)/$J$21*$I23/60</f>
        <v>0.14864864864864866</v>
      </c>
      <c r="L23" s="28">
        <f t="shared" si="18"/>
        <v>0.19369369369369369</v>
      </c>
      <c r="M23" s="28">
        <f t="shared" si="18"/>
        <v>0.23873873873873874</v>
      </c>
      <c r="N23" s="28">
        <f t="shared" si="18"/>
        <v>0.28378378378378372</v>
      </c>
      <c r="O23" s="28">
        <f t="shared" si="18"/>
        <v>0.32882882882882886</v>
      </c>
      <c r="P23" s="35">
        <f t="shared" si="18"/>
        <v>0.37387387387387394</v>
      </c>
      <c r="Q23" s="28">
        <f t="shared" si="18"/>
        <v>0.41891891891891897</v>
      </c>
      <c r="R23" s="28">
        <f t="shared" si="18"/>
        <v>0.463963963963964</v>
      </c>
      <c r="S23" s="28">
        <f t="shared" si="18"/>
        <v>0.50900900900900903</v>
      </c>
      <c r="U23" t="s">
        <v>91</v>
      </c>
    </row>
    <row r="24" spans="1:21" x14ac:dyDescent="0.2">
      <c r="A24" s="28">
        <f t="shared" si="11"/>
        <v>0.63273000000000001</v>
      </c>
      <c r="B24" s="37">
        <f t="shared" si="3"/>
        <v>1.3796379999999999</v>
      </c>
      <c r="C24" s="10">
        <f t="shared" si="12"/>
        <v>28.993112686081425</v>
      </c>
      <c r="D24" s="38">
        <f t="shared" si="13"/>
        <v>1.3796379999999999</v>
      </c>
      <c r="E24" s="39">
        <f t="shared" si="6"/>
        <v>1.5061840000000002</v>
      </c>
      <c r="F24" s="12">
        <f t="shared" si="16"/>
        <v>26.557180264828197</v>
      </c>
      <c r="G24" s="39">
        <f t="shared" si="14"/>
        <v>1.5061840000000002</v>
      </c>
      <c r="H24" s="24">
        <f t="shared" si="15"/>
        <v>9.1724060949321728E-2</v>
      </c>
      <c r="I24" s="30">
        <f>I23+5</f>
        <v>15</v>
      </c>
      <c r="J24" s="28">
        <f t="shared" ref="J24:S40" si="19">(J$22-$J$21)/$J$21*$I24/60</f>
        <v>0.1554054054054054</v>
      </c>
      <c r="K24" s="28">
        <f t="shared" si="19"/>
        <v>0.22297297297297297</v>
      </c>
      <c r="L24" s="28">
        <f t="shared" si="19"/>
        <v>0.29054054054054052</v>
      </c>
      <c r="M24" s="28">
        <f t="shared" si="19"/>
        <v>0.35810810810810811</v>
      </c>
      <c r="N24" s="28">
        <f t="shared" si="19"/>
        <v>0.42567567567567566</v>
      </c>
      <c r="O24" s="35">
        <f t="shared" si="19"/>
        <v>0.49324324324324326</v>
      </c>
      <c r="P24" s="35">
        <f t="shared" si="19"/>
        <v>0.56081081081081086</v>
      </c>
      <c r="Q24" s="28">
        <f t="shared" si="19"/>
        <v>0.6283783783783784</v>
      </c>
      <c r="R24" s="28">
        <f t="shared" si="19"/>
        <v>0.69594594594594594</v>
      </c>
      <c r="S24" s="28">
        <f t="shared" si="19"/>
        <v>0.76351351351351349</v>
      </c>
      <c r="U24" t="s">
        <v>99</v>
      </c>
    </row>
    <row r="25" spans="1:21" x14ac:dyDescent="0.2">
      <c r="A25" s="28">
        <f t="shared" si="11"/>
        <v>0.66603000000000001</v>
      </c>
      <c r="B25" s="37">
        <f t="shared" si="3"/>
        <v>1.399618</v>
      </c>
      <c r="C25" s="10">
        <f t="shared" si="12"/>
        <v>28.579226617548503</v>
      </c>
      <c r="D25" s="38">
        <f t="shared" si="13"/>
        <v>1.399618</v>
      </c>
      <c r="E25" s="39">
        <f t="shared" si="6"/>
        <v>1.5328240000000002</v>
      </c>
      <c r="F25" s="12">
        <f t="shared" si="16"/>
        <v>26.095624807544763</v>
      </c>
      <c r="G25" s="39">
        <f t="shared" si="14"/>
        <v>1.5328240000000002</v>
      </c>
      <c r="H25" s="24">
        <f t="shared" si="15"/>
        <v>9.5173111520429288E-2</v>
      </c>
      <c r="I25" s="30">
        <f t="shared" ref="I25:I35" si="20">I24+5</f>
        <v>20</v>
      </c>
      <c r="J25" s="28">
        <f t="shared" si="19"/>
        <v>0.2072072072072072</v>
      </c>
      <c r="K25" s="28">
        <f t="shared" si="19"/>
        <v>0.29729729729729731</v>
      </c>
      <c r="L25" s="28">
        <f t="shared" si="19"/>
        <v>0.38738738738738737</v>
      </c>
      <c r="M25" s="35">
        <f t="shared" si="19"/>
        <v>0.47747747747747749</v>
      </c>
      <c r="N25" s="35">
        <f t="shared" si="19"/>
        <v>0.56756756756756743</v>
      </c>
      <c r="O25" s="28">
        <f t="shared" si="19"/>
        <v>0.65765765765765771</v>
      </c>
      <c r="P25" s="28">
        <f t="shared" si="19"/>
        <v>0.74774774774774788</v>
      </c>
      <c r="Q25" s="28">
        <f t="shared" si="19"/>
        <v>0.83783783783783794</v>
      </c>
      <c r="R25" s="28">
        <f t="shared" si="19"/>
        <v>0.927927927927928</v>
      </c>
      <c r="S25" s="28">
        <f t="shared" si="19"/>
        <v>1.0180180180180181</v>
      </c>
    </row>
    <row r="26" spans="1:21" ht="15" x14ac:dyDescent="0.25">
      <c r="A26" s="28">
        <f t="shared" si="11"/>
        <v>0.69933000000000001</v>
      </c>
      <c r="B26" s="37">
        <f t="shared" si="3"/>
        <v>1.4195979999999999</v>
      </c>
      <c r="C26" s="10">
        <f t="shared" si="12"/>
        <v>28.176990950959357</v>
      </c>
      <c r="D26" s="38">
        <f t="shared" si="13"/>
        <v>1.4195979999999999</v>
      </c>
      <c r="E26" s="39">
        <f t="shared" si="6"/>
        <v>1.5594640000000002</v>
      </c>
      <c r="F26" s="12">
        <f t="shared" si="16"/>
        <v>25.64983866251481</v>
      </c>
      <c r="G26" s="39">
        <f t="shared" si="14"/>
        <v>1.5594640000000002</v>
      </c>
      <c r="H26" s="24">
        <f t="shared" si="15"/>
        <v>9.8525075408672169E-2</v>
      </c>
      <c r="I26" s="30">
        <f t="shared" si="20"/>
        <v>25</v>
      </c>
      <c r="J26" s="28">
        <f t="shared" si="19"/>
        <v>0.25900900900900903</v>
      </c>
      <c r="K26" s="28">
        <f t="shared" si="19"/>
        <v>0.37162162162162166</v>
      </c>
      <c r="L26" s="35">
        <f t="shared" si="19"/>
        <v>0.48423423423423423</v>
      </c>
      <c r="M26" s="35">
        <f t="shared" si="19"/>
        <v>0.59684684684684686</v>
      </c>
      <c r="N26" s="28">
        <f t="shared" si="19"/>
        <v>0.70945945945945943</v>
      </c>
      <c r="O26" s="28">
        <f t="shared" si="19"/>
        <v>0.822072072072072</v>
      </c>
      <c r="P26" s="28">
        <f t="shared" si="19"/>
        <v>0.9346846846846848</v>
      </c>
      <c r="Q26" s="28">
        <f t="shared" si="19"/>
        <v>1.0472972972972974</v>
      </c>
      <c r="R26" s="28">
        <f t="shared" si="19"/>
        <v>1.1599099099099099</v>
      </c>
      <c r="S26" s="28">
        <f t="shared" si="19"/>
        <v>1.2725225225225225</v>
      </c>
      <c r="U26" s="29" t="s">
        <v>180</v>
      </c>
    </row>
    <row r="27" spans="1:21" x14ac:dyDescent="0.2">
      <c r="A27" s="28">
        <f t="shared" si="11"/>
        <v>0.73263</v>
      </c>
      <c r="B27" s="37">
        <f t="shared" si="3"/>
        <v>1.439578</v>
      </c>
      <c r="C27" s="10">
        <f t="shared" si="12"/>
        <v>27.785920596174712</v>
      </c>
      <c r="D27" s="38">
        <f t="shared" si="13"/>
        <v>1.439578</v>
      </c>
      <c r="E27" s="39">
        <f t="shared" si="6"/>
        <v>1.5861040000000002</v>
      </c>
      <c r="F27" s="12">
        <f t="shared" si="16"/>
        <v>25.219027251680846</v>
      </c>
      <c r="G27" s="39">
        <f t="shared" si="14"/>
        <v>1.5861040000000002</v>
      </c>
      <c r="H27" s="24">
        <f t="shared" si="15"/>
        <v>0.10178399503187752</v>
      </c>
      <c r="I27" s="30">
        <f t="shared" si="20"/>
        <v>30</v>
      </c>
      <c r="J27" s="28">
        <f t="shared" si="19"/>
        <v>0.3108108108108108</v>
      </c>
      <c r="K27" s="28">
        <f t="shared" si="19"/>
        <v>0.44594594594594594</v>
      </c>
      <c r="L27" s="35">
        <f t="shared" si="19"/>
        <v>0.58108108108108103</v>
      </c>
      <c r="M27" s="28">
        <f t="shared" si="19"/>
        <v>0.71621621621621623</v>
      </c>
      <c r="N27" s="28">
        <f t="shared" si="19"/>
        <v>0.85135135135135132</v>
      </c>
      <c r="O27" s="28">
        <f t="shared" si="19"/>
        <v>0.98648648648648651</v>
      </c>
      <c r="P27" s="28">
        <f t="shared" si="19"/>
        <v>1.1216216216216217</v>
      </c>
      <c r="Q27" s="28">
        <f t="shared" si="19"/>
        <v>1.2567567567567568</v>
      </c>
      <c r="R27" s="28">
        <f t="shared" si="19"/>
        <v>1.3918918918918919</v>
      </c>
      <c r="S27" s="28">
        <f t="shared" si="19"/>
        <v>1.527027027027027</v>
      </c>
      <c r="U27" t="s">
        <v>101</v>
      </c>
    </row>
    <row r="28" spans="1:21" x14ac:dyDescent="0.2">
      <c r="A28" s="28">
        <f t="shared" si="11"/>
        <v>0.76593</v>
      </c>
      <c r="B28" s="37">
        <f t="shared" si="3"/>
        <v>1.4595579999999999</v>
      </c>
      <c r="C28" s="10">
        <f t="shared" si="12"/>
        <v>27.405557024797918</v>
      </c>
      <c r="D28" s="38">
        <f t="shared" si="13"/>
        <v>1.4595579999999999</v>
      </c>
      <c r="E28" s="39">
        <f t="shared" si="6"/>
        <v>1.6127440000000002</v>
      </c>
      <c r="F28" s="12">
        <f t="shared" si="16"/>
        <v>24.802448497715691</v>
      </c>
      <c r="G28" s="39">
        <f t="shared" si="14"/>
        <v>1.6127440000000002</v>
      </c>
      <c r="H28" s="24">
        <f t="shared" si="15"/>
        <v>0.10495369146001754</v>
      </c>
      <c r="I28" s="30">
        <f t="shared" si="20"/>
        <v>35</v>
      </c>
      <c r="J28" s="28">
        <f t="shared" si="19"/>
        <v>0.36261261261261257</v>
      </c>
      <c r="K28" s="35">
        <f t="shared" si="19"/>
        <v>0.52027027027027029</v>
      </c>
      <c r="L28" s="28">
        <f t="shared" si="19"/>
        <v>0.67792792792792789</v>
      </c>
      <c r="M28" s="28">
        <f t="shared" si="19"/>
        <v>0.8355855855855856</v>
      </c>
      <c r="N28" s="28">
        <f t="shared" si="19"/>
        <v>0.9932432432432432</v>
      </c>
      <c r="O28" s="28">
        <f t="shared" si="19"/>
        <v>1.1509009009009008</v>
      </c>
      <c r="P28" s="28">
        <f t="shared" si="19"/>
        <v>1.3085585585585586</v>
      </c>
      <c r="Q28" s="28">
        <f t="shared" si="19"/>
        <v>1.4662162162162165</v>
      </c>
      <c r="R28" s="28">
        <f t="shared" si="19"/>
        <v>1.6238738738738738</v>
      </c>
      <c r="S28" s="28">
        <f t="shared" si="19"/>
        <v>1.7815315315315314</v>
      </c>
      <c r="U28" t="s">
        <v>182</v>
      </c>
    </row>
    <row r="29" spans="1:21" x14ac:dyDescent="0.2">
      <c r="A29" s="28">
        <f t="shared" si="11"/>
        <v>0.79923</v>
      </c>
      <c r="B29" s="37">
        <f t="shared" si="3"/>
        <v>1.479538</v>
      </c>
      <c r="C29" s="10">
        <f t="shared" si="12"/>
        <v>27.035466476697454</v>
      </c>
      <c r="D29" s="38">
        <f t="shared" si="13"/>
        <v>1.479538</v>
      </c>
      <c r="E29" s="39">
        <f t="shared" si="6"/>
        <v>1.6393840000000002</v>
      </c>
      <c r="F29" s="12">
        <f t="shared" si="16"/>
        <v>24.399408558336543</v>
      </c>
      <c r="G29" s="39">
        <f t="shared" si="14"/>
        <v>1.6393840000000002</v>
      </c>
      <c r="H29" s="24">
        <f t="shared" si="15"/>
        <v>0.10803777936085468</v>
      </c>
      <c r="I29" s="30">
        <f t="shared" si="20"/>
        <v>40</v>
      </c>
      <c r="J29" s="28">
        <f t="shared" si="19"/>
        <v>0.4144144144144144</v>
      </c>
      <c r="K29" s="28">
        <f t="shared" si="19"/>
        <v>0.59459459459459463</v>
      </c>
      <c r="L29" s="28">
        <f t="shared" si="19"/>
        <v>0.77477477477477474</v>
      </c>
      <c r="M29" s="28">
        <f t="shared" si="19"/>
        <v>0.95495495495495497</v>
      </c>
      <c r="N29" s="28">
        <f t="shared" si="19"/>
        <v>1.1351351351351349</v>
      </c>
      <c r="O29" s="28">
        <f t="shared" si="19"/>
        <v>1.3153153153153154</v>
      </c>
      <c r="P29" s="28">
        <f t="shared" si="19"/>
        <v>1.4954954954954958</v>
      </c>
      <c r="Q29" s="28">
        <f t="shared" si="19"/>
        <v>1.6756756756756759</v>
      </c>
      <c r="R29" s="28">
        <f t="shared" si="19"/>
        <v>1.855855855855856</v>
      </c>
      <c r="S29" s="28">
        <f t="shared" si="19"/>
        <v>2.0360360360360361</v>
      </c>
      <c r="U29" t="s">
        <v>103</v>
      </c>
    </row>
    <row r="30" spans="1:21" x14ac:dyDescent="0.2">
      <c r="A30" s="28">
        <f t="shared" si="11"/>
        <v>0.83252999999999999</v>
      </c>
      <c r="B30" s="37">
        <f t="shared" si="3"/>
        <v>1.4995179999999999</v>
      </c>
      <c r="C30" s="10">
        <f t="shared" si="12"/>
        <v>26.675238309910252</v>
      </c>
      <c r="D30" s="38">
        <f t="shared" si="13"/>
        <v>1.4995179999999999</v>
      </c>
      <c r="E30" s="39">
        <f t="shared" si="6"/>
        <v>1.6660240000000002</v>
      </c>
      <c r="F30" s="12">
        <f t="shared" si="16"/>
        <v>24.009257969873179</v>
      </c>
      <c r="G30" s="39">
        <f t="shared" si="14"/>
        <v>1.6660240000000004</v>
      </c>
      <c r="H30" s="24">
        <f t="shared" si="15"/>
        <v>0.11103968075074833</v>
      </c>
      <c r="I30" s="30">
        <f t="shared" si="20"/>
        <v>45</v>
      </c>
      <c r="J30" s="28">
        <f t="shared" si="19"/>
        <v>0.46621621621621617</v>
      </c>
      <c r="K30" s="28">
        <f t="shared" si="19"/>
        <v>0.66891891891891897</v>
      </c>
      <c r="L30" s="28">
        <f t="shared" si="19"/>
        <v>0.87162162162162149</v>
      </c>
      <c r="M30" s="28">
        <f t="shared" si="19"/>
        <v>1.0743243243243243</v>
      </c>
      <c r="N30" s="28">
        <f t="shared" si="19"/>
        <v>1.277027027027027</v>
      </c>
      <c r="O30" s="28">
        <f t="shared" si="19"/>
        <v>1.4797297297297298</v>
      </c>
      <c r="P30" s="28">
        <f t="shared" si="19"/>
        <v>1.6824324324324325</v>
      </c>
      <c r="Q30" s="28">
        <f t="shared" si="19"/>
        <v>1.8851351351351353</v>
      </c>
      <c r="R30" s="28">
        <f t="shared" si="19"/>
        <v>2.0878378378378377</v>
      </c>
      <c r="S30" s="28">
        <f t="shared" si="19"/>
        <v>2.2905405405405403</v>
      </c>
    </row>
    <row r="31" spans="1:21" ht="15" x14ac:dyDescent="0.25">
      <c r="A31" s="28">
        <f t="shared" si="11"/>
        <v>0.86582999999999999</v>
      </c>
      <c r="B31" s="37">
        <f t="shared" si="3"/>
        <v>1.519498</v>
      </c>
      <c r="C31" s="10">
        <f t="shared" si="12"/>
        <v>26.324483480728503</v>
      </c>
      <c r="D31" s="38">
        <f t="shared" si="13"/>
        <v>1.519498</v>
      </c>
      <c r="E31" s="39">
        <f t="shared" si="6"/>
        <v>1.6926640000000002</v>
      </c>
      <c r="F31" s="12">
        <f t="shared" si="16"/>
        <v>23.631388155002998</v>
      </c>
      <c r="G31" s="39">
        <f t="shared" si="14"/>
        <v>1.6926640000000002</v>
      </c>
      <c r="H31" s="24">
        <f t="shared" si="15"/>
        <v>0.113962637660596</v>
      </c>
      <c r="I31" s="30">
        <f t="shared" si="20"/>
        <v>50</v>
      </c>
      <c r="J31" s="35">
        <f t="shared" si="19"/>
        <v>0.51801801801801806</v>
      </c>
      <c r="K31" s="28">
        <f t="shared" si="19"/>
        <v>0.74324324324324331</v>
      </c>
      <c r="L31" s="28">
        <f t="shared" si="19"/>
        <v>0.96846846846846846</v>
      </c>
      <c r="M31" s="28">
        <f t="shared" si="19"/>
        <v>1.1936936936936937</v>
      </c>
      <c r="N31" s="28">
        <f t="shared" si="19"/>
        <v>1.4189189189189189</v>
      </c>
      <c r="O31" s="28">
        <f t="shared" si="19"/>
        <v>1.644144144144144</v>
      </c>
      <c r="P31" s="28">
        <f t="shared" si="19"/>
        <v>1.8693693693693696</v>
      </c>
      <c r="Q31" s="28">
        <f t="shared" si="19"/>
        <v>2.0945945945945947</v>
      </c>
      <c r="R31" s="28">
        <f t="shared" si="19"/>
        <v>2.3198198198198199</v>
      </c>
      <c r="S31" s="28">
        <f t="shared" si="19"/>
        <v>2.545045045045045</v>
      </c>
      <c r="U31" s="29" t="s">
        <v>181</v>
      </c>
    </row>
    <row r="32" spans="1:21" ht="15" x14ac:dyDescent="0.25">
      <c r="A32" s="28">
        <f t="shared" si="11"/>
        <v>0.89912999999999998</v>
      </c>
      <c r="B32" s="37">
        <f t="shared" si="3"/>
        <v>1.5394779999999999</v>
      </c>
      <c r="C32" s="10">
        <f t="shared" si="12"/>
        <v>25.982833142142987</v>
      </c>
      <c r="D32" s="38">
        <f t="shared" si="13"/>
        <v>1.5394779999999999</v>
      </c>
      <c r="E32" s="39">
        <f t="shared" si="6"/>
        <v>1.7193040000000002</v>
      </c>
      <c r="F32" s="12">
        <f t="shared" si="16"/>
        <v>23.265228255154408</v>
      </c>
      <c r="G32" s="39">
        <f t="shared" si="14"/>
        <v>1.7193040000000002</v>
      </c>
      <c r="H32" s="24">
        <f t="shared" si="15"/>
        <v>0.11680972381547527</v>
      </c>
      <c r="I32" s="30">
        <f t="shared" si="20"/>
        <v>55</v>
      </c>
      <c r="J32" s="35">
        <f t="shared" si="19"/>
        <v>0.56981981981981977</v>
      </c>
      <c r="K32" s="28">
        <f t="shared" si="19"/>
        <v>0.81756756756756765</v>
      </c>
      <c r="L32" s="28">
        <f t="shared" si="19"/>
        <v>1.0653153153153152</v>
      </c>
      <c r="M32" s="28">
        <f t="shared" si="19"/>
        <v>1.3130630630630631</v>
      </c>
      <c r="N32" s="28">
        <f t="shared" si="19"/>
        <v>1.5608108108108107</v>
      </c>
      <c r="O32" s="28">
        <f t="shared" si="19"/>
        <v>1.8085585585585586</v>
      </c>
      <c r="P32" s="28">
        <f t="shared" si="19"/>
        <v>2.0563063063063063</v>
      </c>
      <c r="Q32" s="28">
        <f t="shared" si="19"/>
        <v>2.3040540540540544</v>
      </c>
      <c r="R32" s="28">
        <f t="shared" si="19"/>
        <v>2.5518018018018016</v>
      </c>
      <c r="S32" s="28">
        <f t="shared" si="19"/>
        <v>2.7995495495495493</v>
      </c>
      <c r="U32" t="s">
        <v>92</v>
      </c>
    </row>
    <row r="33" spans="1:34" ht="15" x14ac:dyDescent="0.25">
      <c r="A33" s="28">
        <f t="shared" si="11"/>
        <v>0.93242999999999998</v>
      </c>
      <c r="B33" s="37">
        <f t="shared" si="3"/>
        <v>1.559458</v>
      </c>
      <c r="C33" s="10">
        <f t="shared" si="12"/>
        <v>25.649937350028022</v>
      </c>
      <c r="D33" s="38">
        <f t="shared" si="13"/>
        <v>1.559458</v>
      </c>
      <c r="E33" s="39">
        <f t="shared" si="6"/>
        <v>1.7459440000000002</v>
      </c>
      <c r="F33" s="12">
        <f t="shared" si="16"/>
        <v>22.910242252901579</v>
      </c>
      <c r="G33" s="39">
        <f t="shared" si="14"/>
        <v>1.7459440000000002</v>
      </c>
      <c r="H33" s="24">
        <f t="shared" si="15"/>
        <v>0.11958385541643324</v>
      </c>
      <c r="I33" s="30">
        <f t="shared" si="20"/>
        <v>60</v>
      </c>
      <c r="J33" s="28">
        <f t="shared" si="19"/>
        <v>0.6216216216216216</v>
      </c>
      <c r="K33" s="28">
        <f t="shared" si="19"/>
        <v>0.89189189189189189</v>
      </c>
      <c r="L33" s="28">
        <f t="shared" si="19"/>
        <v>1.1621621621621621</v>
      </c>
      <c r="M33" s="28">
        <f t="shared" si="19"/>
        <v>1.4324324324324325</v>
      </c>
      <c r="N33" s="28">
        <f t="shared" si="19"/>
        <v>1.7027027027027026</v>
      </c>
      <c r="O33" s="28">
        <f t="shared" si="19"/>
        <v>1.972972972972973</v>
      </c>
      <c r="P33" s="28">
        <f t="shared" si="19"/>
        <v>2.2432432432432434</v>
      </c>
      <c r="Q33" s="28">
        <f t="shared" si="19"/>
        <v>2.5135135135135136</v>
      </c>
      <c r="R33" s="28">
        <f t="shared" si="19"/>
        <v>2.7837837837837838</v>
      </c>
      <c r="S33" s="28">
        <f t="shared" si="19"/>
        <v>3.0540540540540539</v>
      </c>
      <c r="U33" t="s">
        <v>197</v>
      </c>
    </row>
    <row r="34" spans="1:34" x14ac:dyDescent="0.2">
      <c r="A34" s="28">
        <f t="shared" si="11"/>
        <v>0.96572999999999998</v>
      </c>
      <c r="B34" s="37">
        <f t="shared" si="3"/>
        <v>1.5794380000000001</v>
      </c>
      <c r="C34" s="10">
        <f t="shared" si="12"/>
        <v>25.32546386752756</v>
      </c>
      <c r="D34" s="38">
        <f t="shared" si="13"/>
        <v>1.5794380000000001</v>
      </c>
      <c r="E34" s="39">
        <f t="shared" si="6"/>
        <v>1.7725840000000002</v>
      </c>
      <c r="F34" s="12">
        <f t="shared" si="16"/>
        <v>22.565926353842748</v>
      </c>
      <c r="G34" s="39">
        <f t="shared" si="14"/>
        <v>1.7725840000000004</v>
      </c>
      <c r="H34" s="24">
        <f t="shared" si="15"/>
        <v>0.12228780110393722</v>
      </c>
      <c r="I34" s="30">
        <f t="shared" si="20"/>
        <v>65</v>
      </c>
      <c r="J34" s="28">
        <f t="shared" si="19"/>
        <v>0.67342342342342343</v>
      </c>
      <c r="K34" s="28">
        <f t="shared" si="19"/>
        <v>0.96621621621621623</v>
      </c>
      <c r="L34" s="28">
        <f t="shared" si="19"/>
        <v>1.2590090090090089</v>
      </c>
      <c r="M34" s="28">
        <f t="shared" si="19"/>
        <v>1.5518018018018018</v>
      </c>
      <c r="N34" s="28">
        <f t="shared" si="19"/>
        <v>1.8445945945945945</v>
      </c>
      <c r="O34" s="28">
        <f t="shared" si="19"/>
        <v>2.1373873873873874</v>
      </c>
      <c r="P34" s="28">
        <f t="shared" si="19"/>
        <v>2.4301801801801806</v>
      </c>
      <c r="Q34" s="28">
        <f t="shared" si="19"/>
        <v>2.7229729729729732</v>
      </c>
      <c r="R34" s="28">
        <f t="shared" si="19"/>
        <v>3.0157657657657655</v>
      </c>
      <c r="S34" s="28">
        <f t="shared" si="19"/>
        <v>3.3085585585585586</v>
      </c>
      <c r="U34" t="s">
        <v>94</v>
      </c>
    </row>
    <row r="35" spans="1:34" ht="15" x14ac:dyDescent="0.25">
      <c r="A35" s="28">
        <f t="shared" si="11"/>
        <v>0.99902999999999997</v>
      </c>
      <c r="B35" s="37">
        <f t="shared" si="3"/>
        <v>1.599418</v>
      </c>
      <c r="C35" s="10">
        <f t="shared" si="12"/>
        <v>25.009097059055232</v>
      </c>
      <c r="D35" s="38">
        <f t="shared" si="13"/>
        <v>1.599418</v>
      </c>
      <c r="E35" s="39">
        <f t="shared" si="6"/>
        <v>1.7992240000000002</v>
      </c>
      <c r="F35" s="12">
        <f t="shared" si="16"/>
        <v>22.231806601068016</v>
      </c>
      <c r="G35" s="39">
        <f t="shared" si="14"/>
        <v>1.7992239999999999</v>
      </c>
      <c r="H35" s="24">
        <f>G35/D35-1</f>
        <v>0.12492419117453979</v>
      </c>
      <c r="I35" s="30">
        <f t="shared" si="20"/>
        <v>70</v>
      </c>
      <c r="J35" s="28">
        <f t="shared" si="19"/>
        <v>0.72522522522522515</v>
      </c>
      <c r="K35" s="28">
        <f t="shared" si="19"/>
        <v>1.0405405405405406</v>
      </c>
      <c r="L35" s="28">
        <f t="shared" si="19"/>
        <v>1.3558558558558558</v>
      </c>
      <c r="M35" s="28">
        <f t="shared" si="19"/>
        <v>1.6711711711711712</v>
      </c>
      <c r="N35" s="28">
        <f t="shared" si="19"/>
        <v>1.9864864864864864</v>
      </c>
      <c r="O35" s="28">
        <f t="shared" si="19"/>
        <v>2.3018018018018016</v>
      </c>
      <c r="P35" s="28">
        <f t="shared" si="19"/>
        <v>2.6171171171171173</v>
      </c>
      <c r="Q35" s="28">
        <f t="shared" si="19"/>
        <v>2.9324324324324329</v>
      </c>
      <c r="R35" s="28">
        <f t="shared" si="19"/>
        <v>3.2477477477477477</v>
      </c>
      <c r="S35" s="28">
        <f t="shared" si="19"/>
        <v>3.5630630630630629</v>
      </c>
      <c r="U35" t="s">
        <v>93</v>
      </c>
    </row>
    <row r="36" spans="1:34" ht="15" x14ac:dyDescent="0.25">
      <c r="A36" s="28">
        <f t="shared" si="11"/>
        <v>1.03233</v>
      </c>
      <c r="B36" s="37">
        <f t="shared" si="3"/>
        <v>1.6193979999999999</v>
      </c>
      <c r="C36" s="10">
        <f t="shared" ref="C36:C46" si="21">$B$1/B36</f>
        <v>24.700536866168786</v>
      </c>
      <c r="D36" s="38">
        <f t="shared" ref="D36:D46" si="22">+$B$2*$B$1/C36</f>
        <v>1.6193980000000001</v>
      </c>
      <c r="E36" s="39">
        <f t="shared" si="6"/>
        <v>1.8258640000000002</v>
      </c>
      <c r="F36" s="12">
        <f t="shared" ref="F36:F46" si="23">$B$1/E36</f>
        <v>21.907436698461659</v>
      </c>
      <c r="G36" s="39">
        <f t="shared" ref="G36:G46" si="24">+$B$2*$B$1/F36</f>
        <v>1.8258640000000002</v>
      </c>
      <c r="H36" s="24">
        <f t="shared" ref="H36:H46" si="25">G36/D36-1</f>
        <v>0.12749552611526016</v>
      </c>
      <c r="I36" s="30">
        <f>I35+5</f>
        <v>75</v>
      </c>
      <c r="J36" s="28">
        <f t="shared" si="19"/>
        <v>0.77702702702702697</v>
      </c>
      <c r="K36" s="28">
        <f t="shared" si="19"/>
        <v>1.1148648648648647</v>
      </c>
      <c r="L36" s="28">
        <f t="shared" si="19"/>
        <v>1.4527027027027026</v>
      </c>
      <c r="M36" s="28">
        <f t="shared" si="19"/>
        <v>1.7905405405405406</v>
      </c>
      <c r="N36" s="28">
        <f t="shared" si="19"/>
        <v>2.1283783783783781</v>
      </c>
      <c r="O36" s="28">
        <f t="shared" si="19"/>
        <v>2.4662162162162162</v>
      </c>
      <c r="P36" s="28">
        <f t="shared" si="19"/>
        <v>2.8040540540540544</v>
      </c>
      <c r="Q36" s="28">
        <f t="shared" si="19"/>
        <v>3.1418918918918921</v>
      </c>
      <c r="R36" s="28">
        <f t="shared" si="19"/>
        <v>3.4797297297297294</v>
      </c>
      <c r="S36" s="28">
        <f t="shared" si="19"/>
        <v>3.8175675675675671</v>
      </c>
      <c r="U36" t="s">
        <v>183</v>
      </c>
      <c r="AD36" s="29"/>
      <c r="AE36" s="29"/>
      <c r="AF36" s="29"/>
      <c r="AG36" s="29"/>
      <c r="AH36" s="29"/>
    </row>
    <row r="37" spans="1:34" x14ac:dyDescent="0.2">
      <c r="A37" s="28">
        <f t="shared" si="11"/>
        <v>1.0656300000000001</v>
      </c>
      <c r="B37" s="37">
        <f t="shared" si="3"/>
        <v>1.639378</v>
      </c>
      <c r="C37" s="10">
        <f t="shared" si="21"/>
        <v>24.399497858334076</v>
      </c>
      <c r="D37" s="38">
        <f t="shared" si="22"/>
        <v>1.639378</v>
      </c>
      <c r="E37" s="39">
        <f t="shared" si="6"/>
        <v>1.8525040000000002</v>
      </c>
      <c r="F37" s="12">
        <f t="shared" si="23"/>
        <v>21.592396021816956</v>
      </c>
      <c r="G37" s="39">
        <f t="shared" si="24"/>
        <v>1.8525040000000002</v>
      </c>
      <c r="H37" s="24">
        <f t="shared" si="25"/>
        <v>0.13000418451388285</v>
      </c>
      <c r="I37" s="30">
        <f t="shared" ref="I37:I51" si="26">I36+5</f>
        <v>80</v>
      </c>
      <c r="J37" s="28">
        <f t="shared" si="19"/>
        <v>0.8288288288288288</v>
      </c>
      <c r="K37" s="28">
        <f t="shared" si="19"/>
        <v>1.1891891891891893</v>
      </c>
      <c r="L37" s="28">
        <f t="shared" si="19"/>
        <v>1.5495495495495495</v>
      </c>
      <c r="M37" s="28">
        <f t="shared" si="19"/>
        <v>1.9099099099099099</v>
      </c>
      <c r="N37" s="28">
        <f t="shared" si="19"/>
        <v>2.2702702702702697</v>
      </c>
      <c r="O37" s="28">
        <f t="shared" si="19"/>
        <v>2.6306306306306309</v>
      </c>
      <c r="P37" s="28">
        <f t="shared" si="19"/>
        <v>2.9909909909909915</v>
      </c>
      <c r="Q37" s="28">
        <f t="shared" si="19"/>
        <v>3.3513513513513518</v>
      </c>
      <c r="R37" s="28">
        <f t="shared" si="19"/>
        <v>3.711711711711712</v>
      </c>
      <c r="S37" s="28">
        <f t="shared" si="19"/>
        <v>4.0720720720720722</v>
      </c>
      <c r="U37" t="s">
        <v>195</v>
      </c>
    </row>
    <row r="38" spans="1:34" x14ac:dyDescent="0.2">
      <c r="A38" s="28">
        <f t="shared" si="11"/>
        <v>1.0989300000000002</v>
      </c>
      <c r="B38" s="37">
        <f t="shared" si="3"/>
        <v>1.6593580000000001</v>
      </c>
      <c r="C38" s="10">
        <f t="shared" si="21"/>
        <v>24.105708352266358</v>
      </c>
      <c r="D38" s="38">
        <f t="shared" si="22"/>
        <v>1.6593580000000001</v>
      </c>
      <c r="E38" s="39">
        <f t="shared" si="6"/>
        <v>1.8791440000000001</v>
      </c>
      <c r="F38" s="12">
        <f t="shared" si="23"/>
        <v>21.286287799125557</v>
      </c>
      <c r="G38" s="39">
        <f t="shared" si="24"/>
        <v>1.8791440000000001</v>
      </c>
      <c r="H38" s="24">
        <f t="shared" si="25"/>
        <v>0.13245243039778032</v>
      </c>
      <c r="I38" s="30">
        <f t="shared" si="26"/>
        <v>85</v>
      </c>
      <c r="J38" s="28">
        <f t="shared" si="19"/>
        <v>0.88063063063063063</v>
      </c>
      <c r="K38" s="28">
        <f t="shared" si="19"/>
        <v>1.2635135135135134</v>
      </c>
      <c r="L38" s="28">
        <f t="shared" si="19"/>
        <v>1.6463963963963963</v>
      </c>
      <c r="M38" s="28">
        <f t="shared" si="19"/>
        <v>2.0292792792792791</v>
      </c>
      <c r="N38" s="28">
        <f t="shared" si="19"/>
        <v>2.4121621621621618</v>
      </c>
      <c r="O38" s="28">
        <f t="shared" si="19"/>
        <v>2.795045045045045</v>
      </c>
      <c r="P38" s="28">
        <f t="shared" si="19"/>
        <v>3.1779279279279278</v>
      </c>
      <c r="Q38" s="28">
        <f t="shared" si="19"/>
        <v>3.560810810810811</v>
      </c>
      <c r="R38" s="28">
        <f t="shared" si="19"/>
        <v>3.9436936936936937</v>
      </c>
      <c r="S38" s="28">
        <f t="shared" si="19"/>
        <v>4.326576576576576</v>
      </c>
    </row>
    <row r="39" spans="1:34" ht="15" x14ac:dyDescent="0.25">
      <c r="A39" s="28">
        <f t="shared" si="11"/>
        <v>1.1322300000000003</v>
      </c>
      <c r="B39" s="37">
        <f t="shared" si="3"/>
        <v>1.679338</v>
      </c>
      <c r="C39" s="10">
        <f t="shared" si="21"/>
        <v>23.81890959413769</v>
      </c>
      <c r="D39" s="38">
        <f t="shared" si="22"/>
        <v>1.679338</v>
      </c>
      <c r="E39" s="39">
        <f t="shared" si="6"/>
        <v>1.9057840000000001</v>
      </c>
      <c r="F39" s="12">
        <f t="shared" si="23"/>
        <v>20.988737443487821</v>
      </c>
      <c r="G39" s="39">
        <f t="shared" si="24"/>
        <v>1.9057840000000004</v>
      </c>
      <c r="H39" s="24">
        <f t="shared" si="25"/>
        <v>0.13484242004885272</v>
      </c>
      <c r="I39" s="30">
        <f t="shared" si="26"/>
        <v>90</v>
      </c>
      <c r="J39" s="28">
        <f t="shared" si="19"/>
        <v>0.93243243243243235</v>
      </c>
      <c r="K39" s="28">
        <f t="shared" si="19"/>
        <v>1.3378378378378379</v>
      </c>
      <c r="L39" s="28">
        <f t="shared" si="19"/>
        <v>1.743243243243243</v>
      </c>
      <c r="M39" s="28">
        <f t="shared" si="19"/>
        <v>2.1486486486486487</v>
      </c>
      <c r="N39" s="28">
        <f t="shared" si="19"/>
        <v>2.5540540540540539</v>
      </c>
      <c r="O39" s="28">
        <f t="shared" si="19"/>
        <v>2.9594594594594597</v>
      </c>
      <c r="P39" s="28">
        <f t="shared" si="19"/>
        <v>3.3648648648648649</v>
      </c>
      <c r="Q39" s="28">
        <f t="shared" si="19"/>
        <v>3.7702702702702706</v>
      </c>
      <c r="R39" s="28">
        <f t="shared" si="19"/>
        <v>4.1756756756756754</v>
      </c>
      <c r="S39" s="28">
        <f t="shared" si="19"/>
        <v>4.5810810810810807</v>
      </c>
      <c r="U39" s="29" t="s">
        <v>96</v>
      </c>
      <c r="V39" s="29"/>
      <c r="W39" s="29"/>
      <c r="X39" s="29"/>
      <c r="Y39" s="29"/>
      <c r="Z39" s="29"/>
    </row>
    <row r="40" spans="1:34" ht="15" x14ac:dyDescent="0.25">
      <c r="A40" s="28">
        <f t="shared" si="11"/>
        <v>1.1655300000000004</v>
      </c>
      <c r="B40" s="37">
        <f t="shared" si="3"/>
        <v>1.6993180000000003</v>
      </c>
      <c r="C40" s="10">
        <f t="shared" si="21"/>
        <v>23.538854999476257</v>
      </c>
      <c r="D40" s="38">
        <f t="shared" si="22"/>
        <v>1.6993180000000003</v>
      </c>
      <c r="E40" s="39">
        <f t="shared" si="6"/>
        <v>1.9324240000000004</v>
      </c>
      <c r="F40" s="12">
        <f t="shared" si="23"/>
        <v>20.699391023916071</v>
      </c>
      <c r="G40" s="39">
        <f t="shared" si="24"/>
        <v>1.9324240000000006</v>
      </c>
      <c r="H40" s="24">
        <f t="shared" si="25"/>
        <v>0.13717620833769795</v>
      </c>
      <c r="I40" s="30">
        <f t="shared" si="26"/>
        <v>95</v>
      </c>
      <c r="J40" s="28">
        <f t="shared" si="19"/>
        <v>0.98423423423423417</v>
      </c>
      <c r="K40" s="28">
        <f t="shared" si="19"/>
        <v>1.4121621621621621</v>
      </c>
      <c r="L40" s="28">
        <f t="shared" si="19"/>
        <v>1.8400900900900898</v>
      </c>
      <c r="M40" s="28">
        <f t="shared" si="19"/>
        <v>2.2680180180180183</v>
      </c>
      <c r="N40" s="28">
        <f t="shared" si="19"/>
        <v>2.6959459459459456</v>
      </c>
      <c r="O40" s="28">
        <f t="shared" si="19"/>
        <v>3.1238738738738743</v>
      </c>
      <c r="P40" s="28">
        <f t="shared" si="19"/>
        <v>3.551801801801802</v>
      </c>
      <c r="Q40" s="28">
        <f t="shared" si="19"/>
        <v>3.9797297297297303</v>
      </c>
      <c r="R40" s="28">
        <f t="shared" si="19"/>
        <v>4.4076576576576576</v>
      </c>
      <c r="S40" s="28">
        <f t="shared" si="19"/>
        <v>4.8355855855855854</v>
      </c>
      <c r="U40" t="s">
        <v>97</v>
      </c>
    </row>
    <row r="41" spans="1:34" x14ac:dyDescent="0.2">
      <c r="A41" s="28">
        <f t="shared" si="11"/>
        <v>1.1988300000000005</v>
      </c>
      <c r="B41" s="37">
        <f t="shared" si="3"/>
        <v>1.7192980000000002</v>
      </c>
      <c r="C41" s="10">
        <f t="shared" si="21"/>
        <v>23.265309446064613</v>
      </c>
      <c r="D41" s="38">
        <f t="shared" si="22"/>
        <v>1.7192980000000002</v>
      </c>
      <c r="E41" s="39">
        <f t="shared" si="6"/>
        <v>1.9590640000000006</v>
      </c>
      <c r="F41" s="12">
        <f t="shared" si="23"/>
        <v>20.417913860904999</v>
      </c>
      <c r="G41" s="39">
        <f t="shared" si="24"/>
        <v>1.9590640000000004</v>
      </c>
      <c r="H41" s="24">
        <f t="shared" si="25"/>
        <v>0.13945575461612836</v>
      </c>
      <c r="I41" s="30">
        <f t="shared" si="26"/>
        <v>100</v>
      </c>
      <c r="J41" s="28">
        <f t="shared" ref="J41:S51" si="27">(J$22-$J$21)/$J$21*$I41/60</f>
        <v>1.0360360360360361</v>
      </c>
      <c r="K41" s="28">
        <f t="shared" si="27"/>
        <v>1.4864864864864866</v>
      </c>
      <c r="L41" s="28">
        <f t="shared" si="27"/>
        <v>1.9369369369369369</v>
      </c>
      <c r="M41" s="28">
        <f t="shared" si="27"/>
        <v>2.3873873873873874</v>
      </c>
      <c r="N41" s="28">
        <f t="shared" si="27"/>
        <v>2.8378378378378377</v>
      </c>
      <c r="O41" s="28">
        <f t="shared" si="27"/>
        <v>3.288288288288288</v>
      </c>
      <c r="P41" s="28">
        <f t="shared" si="27"/>
        <v>3.7387387387387392</v>
      </c>
      <c r="Q41" s="28">
        <f t="shared" si="27"/>
        <v>4.1891891891891895</v>
      </c>
      <c r="R41" s="28">
        <f t="shared" si="27"/>
        <v>4.6396396396396398</v>
      </c>
      <c r="S41" s="28">
        <f t="shared" si="27"/>
        <v>5.0900900900900901</v>
      </c>
    </row>
    <row r="42" spans="1:34" ht="15" x14ac:dyDescent="0.25">
      <c r="A42" s="28">
        <f t="shared" si="11"/>
        <v>1.2321300000000006</v>
      </c>
      <c r="B42" s="37">
        <f t="shared" si="3"/>
        <v>1.7392780000000003</v>
      </c>
      <c r="C42" s="10">
        <f t="shared" si="21"/>
        <v>22.998048615574966</v>
      </c>
      <c r="D42" s="38">
        <f t="shared" si="22"/>
        <v>1.7392780000000001</v>
      </c>
      <c r="E42" s="39">
        <f t="shared" si="6"/>
        <v>1.9857040000000006</v>
      </c>
      <c r="F42" s="12">
        <f t="shared" si="23"/>
        <v>20.143989235052146</v>
      </c>
      <c r="G42" s="39">
        <f t="shared" si="24"/>
        <v>1.9857040000000006</v>
      </c>
      <c r="H42" s="24">
        <f t="shared" si="25"/>
        <v>0.14168292820354211</v>
      </c>
      <c r="I42" s="30">
        <f t="shared" si="26"/>
        <v>105</v>
      </c>
      <c r="J42" s="28">
        <f t="shared" si="27"/>
        <v>1.0878378378378379</v>
      </c>
      <c r="K42" s="28">
        <f t="shared" si="27"/>
        <v>1.5608108108108107</v>
      </c>
      <c r="L42" s="28">
        <f t="shared" si="27"/>
        <v>2.0337837837837838</v>
      </c>
      <c r="M42" s="28">
        <f t="shared" si="27"/>
        <v>2.506756756756757</v>
      </c>
      <c r="N42" s="28">
        <f t="shared" si="27"/>
        <v>2.9797297297297294</v>
      </c>
      <c r="O42" s="28">
        <f t="shared" si="27"/>
        <v>3.4527027027027026</v>
      </c>
      <c r="P42" s="28">
        <f t="shared" si="27"/>
        <v>3.9256756756756759</v>
      </c>
      <c r="Q42" s="28">
        <f t="shared" si="27"/>
        <v>4.3986486486486482</v>
      </c>
      <c r="R42" s="28">
        <f t="shared" si="27"/>
        <v>4.8716216216216219</v>
      </c>
      <c r="S42" s="28">
        <f t="shared" si="27"/>
        <v>5.3445945945945947</v>
      </c>
      <c r="T42" s="2"/>
      <c r="U42" s="2"/>
      <c r="V42" s="91" t="s">
        <v>12</v>
      </c>
      <c r="W42" s="92">
        <f>E3</f>
        <v>0.8</v>
      </c>
      <c r="X42" s="95" t="s">
        <v>53</v>
      </c>
      <c r="Y42" s="2">
        <f>B3</f>
        <v>0.6</v>
      </c>
    </row>
    <row r="43" spans="1:34" ht="15" x14ac:dyDescent="0.25">
      <c r="A43" s="28">
        <f t="shared" si="11"/>
        <v>1.2654300000000007</v>
      </c>
      <c r="B43" s="37">
        <f t="shared" si="3"/>
        <v>1.7592580000000004</v>
      </c>
      <c r="C43" s="10">
        <f t="shared" si="21"/>
        <v>22.736858380067044</v>
      </c>
      <c r="D43" s="38">
        <f t="shared" si="22"/>
        <v>1.7592580000000004</v>
      </c>
      <c r="E43" s="39">
        <f t="shared" si="6"/>
        <v>2.0123440000000006</v>
      </c>
      <c r="F43" s="12">
        <f t="shared" si="23"/>
        <v>19.877317198252381</v>
      </c>
      <c r="G43" s="39">
        <f t="shared" si="24"/>
        <v>2.0123440000000006</v>
      </c>
      <c r="H43" s="24">
        <f t="shared" si="25"/>
        <v>0.14385951349944137</v>
      </c>
      <c r="I43" s="30">
        <f t="shared" si="26"/>
        <v>110</v>
      </c>
      <c r="J43" s="28">
        <f t="shared" si="27"/>
        <v>1.1396396396396395</v>
      </c>
      <c r="K43" s="28">
        <f t="shared" si="27"/>
        <v>1.6351351351351353</v>
      </c>
      <c r="L43" s="28">
        <f t="shared" si="27"/>
        <v>2.1306306306306304</v>
      </c>
      <c r="M43" s="28">
        <f t="shared" si="27"/>
        <v>2.6261261261261262</v>
      </c>
      <c r="N43" s="28">
        <f t="shared" si="27"/>
        <v>3.1216216216216215</v>
      </c>
      <c r="O43" s="28">
        <f t="shared" si="27"/>
        <v>3.6171171171171173</v>
      </c>
      <c r="P43" s="28">
        <f t="shared" si="27"/>
        <v>4.1126126126126126</v>
      </c>
      <c r="Q43" s="28">
        <f t="shared" si="27"/>
        <v>4.6081081081081088</v>
      </c>
      <c r="R43" s="28">
        <f t="shared" si="27"/>
        <v>5.1036036036036032</v>
      </c>
      <c r="S43" s="28">
        <f t="shared" si="27"/>
        <v>5.5990990990990985</v>
      </c>
      <c r="T43" s="2" t="s">
        <v>61</v>
      </c>
      <c r="U43" s="2"/>
      <c r="V43" s="2"/>
      <c r="W43" s="2"/>
      <c r="X43" s="2"/>
      <c r="Y43" s="2"/>
    </row>
    <row r="44" spans="1:34" x14ac:dyDescent="0.2">
      <c r="A44" s="41">
        <v>1.3</v>
      </c>
      <c r="B44" s="53">
        <f t="shared" si="3"/>
        <v>1.78</v>
      </c>
      <c r="C44" s="63">
        <f t="shared" si="21"/>
        <v>22.471910112359549</v>
      </c>
      <c r="D44" s="55">
        <f t="shared" si="22"/>
        <v>1.7800000000000002</v>
      </c>
      <c r="E44" s="56">
        <f t="shared" si="6"/>
        <v>2.04</v>
      </c>
      <c r="F44" s="60">
        <f t="shared" si="23"/>
        <v>19.607843137254903</v>
      </c>
      <c r="G44" s="56">
        <f t="shared" si="24"/>
        <v>2.04</v>
      </c>
      <c r="H44" s="48">
        <f t="shared" si="25"/>
        <v>0.14606741573033699</v>
      </c>
      <c r="I44" s="30">
        <f t="shared" si="26"/>
        <v>115</v>
      </c>
      <c r="J44" s="28">
        <f t="shared" si="27"/>
        <v>1.1914414414414414</v>
      </c>
      <c r="K44" s="28">
        <f t="shared" si="27"/>
        <v>1.7094594594594594</v>
      </c>
      <c r="L44" s="28">
        <f t="shared" si="27"/>
        <v>2.2274774774774775</v>
      </c>
      <c r="M44" s="28">
        <f t="shared" si="27"/>
        <v>2.7454954954954958</v>
      </c>
      <c r="N44" s="28">
        <f t="shared" si="27"/>
        <v>3.2635135135135136</v>
      </c>
      <c r="O44" s="28">
        <f t="shared" si="27"/>
        <v>3.7815315315315319</v>
      </c>
      <c r="P44" s="28">
        <f t="shared" si="27"/>
        <v>4.2995495495495497</v>
      </c>
      <c r="Q44" s="28">
        <f t="shared" si="27"/>
        <v>4.8175675675675675</v>
      </c>
      <c r="R44" s="28">
        <f t="shared" si="27"/>
        <v>5.3355855855855863</v>
      </c>
      <c r="S44" s="28">
        <f t="shared" si="27"/>
        <v>5.8536036036036032</v>
      </c>
      <c r="T44" t="s">
        <v>46</v>
      </c>
      <c r="Y44" t="s">
        <v>73</v>
      </c>
      <c r="Z44" t="s">
        <v>54</v>
      </c>
    </row>
    <row r="45" spans="1:34" x14ac:dyDescent="0.2">
      <c r="A45" s="42">
        <f>A44+0.1</f>
        <v>1.4000000000000001</v>
      </c>
      <c r="B45" s="37">
        <f t="shared" si="3"/>
        <v>1.84</v>
      </c>
      <c r="C45" s="10">
        <f t="shared" si="21"/>
        <v>21.739130434782609</v>
      </c>
      <c r="D45" s="38">
        <f t="shared" si="22"/>
        <v>1.8399999999999999</v>
      </c>
      <c r="E45" s="57">
        <f t="shared" si="6"/>
        <v>2.12</v>
      </c>
      <c r="F45" s="61">
        <f t="shared" si="23"/>
        <v>18.867924528301884</v>
      </c>
      <c r="G45" s="57">
        <f t="shared" si="24"/>
        <v>2.12</v>
      </c>
      <c r="H45" s="24">
        <f t="shared" si="25"/>
        <v>0.15217391304347849</v>
      </c>
      <c r="I45" s="30">
        <f t="shared" si="26"/>
        <v>120</v>
      </c>
      <c r="J45" s="28">
        <f t="shared" si="27"/>
        <v>1.2432432432432432</v>
      </c>
      <c r="K45" s="28">
        <f t="shared" si="27"/>
        <v>1.7837837837837838</v>
      </c>
      <c r="L45" s="28">
        <f t="shared" si="27"/>
        <v>2.3243243243243241</v>
      </c>
      <c r="M45" s="28">
        <f t="shared" si="27"/>
        <v>2.8648648648648649</v>
      </c>
      <c r="N45" s="28">
        <f t="shared" si="27"/>
        <v>3.4054054054054053</v>
      </c>
      <c r="O45" s="28">
        <f t="shared" si="27"/>
        <v>3.9459459459459461</v>
      </c>
      <c r="P45" s="28">
        <f t="shared" si="27"/>
        <v>4.4864864864864868</v>
      </c>
      <c r="Q45" s="28">
        <f t="shared" si="27"/>
        <v>5.0270270270270272</v>
      </c>
      <c r="R45" s="28">
        <f t="shared" si="27"/>
        <v>5.5675675675675675</v>
      </c>
      <c r="S45" s="28">
        <f t="shared" si="27"/>
        <v>6.1081081081081079</v>
      </c>
    </row>
    <row r="46" spans="1:34" x14ac:dyDescent="0.2">
      <c r="A46" s="42">
        <f t="shared" ref="A46:A56" si="28">A45+0.1</f>
        <v>1.5000000000000002</v>
      </c>
      <c r="B46" s="37">
        <f t="shared" si="3"/>
        <v>1.9000000000000001</v>
      </c>
      <c r="C46" s="10">
        <f t="shared" si="21"/>
        <v>21.052631578947366</v>
      </c>
      <c r="D46" s="38">
        <f t="shared" si="22"/>
        <v>1.9000000000000001</v>
      </c>
      <c r="E46" s="57">
        <f t="shared" si="6"/>
        <v>2.2000000000000002</v>
      </c>
      <c r="F46" s="61">
        <f t="shared" si="23"/>
        <v>18.18181818181818</v>
      </c>
      <c r="G46" s="57">
        <f t="shared" si="24"/>
        <v>2.2000000000000002</v>
      </c>
      <c r="H46" s="24">
        <f t="shared" si="25"/>
        <v>0.15789473684210531</v>
      </c>
      <c r="I46" s="30">
        <f t="shared" si="26"/>
        <v>125</v>
      </c>
      <c r="J46" s="28">
        <f t="shared" si="27"/>
        <v>1.2950450450450448</v>
      </c>
      <c r="K46" s="28">
        <f t="shared" si="27"/>
        <v>1.8581081081081081</v>
      </c>
      <c r="L46" s="28">
        <f t="shared" si="27"/>
        <v>2.4211711711711712</v>
      </c>
      <c r="M46" s="28">
        <f t="shared" si="27"/>
        <v>2.9842342342342345</v>
      </c>
      <c r="N46" s="28">
        <f t="shared" si="27"/>
        <v>3.5472972972972974</v>
      </c>
      <c r="O46" s="28">
        <f t="shared" si="27"/>
        <v>4.1103603603603611</v>
      </c>
      <c r="P46" s="28">
        <f t="shared" si="27"/>
        <v>4.673423423423424</v>
      </c>
      <c r="Q46" s="28">
        <f t="shared" si="27"/>
        <v>5.2364864864864868</v>
      </c>
      <c r="R46" s="28">
        <f t="shared" si="27"/>
        <v>5.7995495495495497</v>
      </c>
      <c r="S46" s="28">
        <f t="shared" si="27"/>
        <v>6.3626126126126117</v>
      </c>
    </row>
    <row r="47" spans="1:34" x14ac:dyDescent="0.2">
      <c r="A47" s="42">
        <f t="shared" si="28"/>
        <v>1.6000000000000003</v>
      </c>
      <c r="B47" s="37">
        <f t="shared" si="3"/>
        <v>1.9600000000000002</v>
      </c>
      <c r="C47" s="10">
        <f t="shared" ref="C47:C61" si="29">$B$1/B47</f>
        <v>20.408163265306122</v>
      </c>
      <c r="D47" s="38">
        <f t="shared" ref="D47:D61" si="30">+$B$2*$B$1/C47</f>
        <v>1.96</v>
      </c>
      <c r="E47" s="57">
        <f t="shared" si="6"/>
        <v>2.2800000000000002</v>
      </c>
      <c r="F47" s="61">
        <f t="shared" ref="F47:F61" si="31">$B$1/E47</f>
        <v>17.543859649122805</v>
      </c>
      <c r="G47" s="57">
        <f t="shared" ref="G47:G61" si="32">+$B$2*$B$1/F47</f>
        <v>2.2800000000000002</v>
      </c>
      <c r="H47" s="24">
        <f t="shared" ref="H47:H61" si="33">G47/D47-1</f>
        <v>0.16326530612244916</v>
      </c>
      <c r="I47" s="30">
        <f t="shared" si="26"/>
        <v>130</v>
      </c>
      <c r="J47" s="28">
        <f t="shared" si="27"/>
        <v>1.3468468468468469</v>
      </c>
      <c r="K47" s="28">
        <f t="shared" si="27"/>
        <v>1.9324324324324325</v>
      </c>
      <c r="L47" s="28">
        <f t="shared" si="27"/>
        <v>2.5180180180180178</v>
      </c>
      <c r="M47" s="28">
        <f t="shared" si="27"/>
        <v>3.1036036036036037</v>
      </c>
      <c r="N47" s="28">
        <f t="shared" si="27"/>
        <v>3.689189189189189</v>
      </c>
      <c r="O47" s="28">
        <f t="shared" si="27"/>
        <v>4.2747747747747749</v>
      </c>
      <c r="P47" s="28">
        <f t="shared" si="27"/>
        <v>4.8603603603603611</v>
      </c>
      <c r="Q47" s="28">
        <f t="shared" si="27"/>
        <v>5.4459459459459465</v>
      </c>
      <c r="R47" s="28">
        <f t="shared" si="27"/>
        <v>6.031531531531531</v>
      </c>
      <c r="S47" s="28">
        <f t="shared" si="27"/>
        <v>6.6171171171171173</v>
      </c>
    </row>
    <row r="48" spans="1:34" x14ac:dyDescent="0.2">
      <c r="A48" s="42">
        <f t="shared" si="28"/>
        <v>1.7000000000000004</v>
      </c>
      <c r="B48" s="37">
        <f t="shared" si="3"/>
        <v>2.0200000000000005</v>
      </c>
      <c r="C48" s="10">
        <f t="shared" si="29"/>
        <v>19.801980198019798</v>
      </c>
      <c r="D48" s="38">
        <f t="shared" si="30"/>
        <v>2.0200000000000005</v>
      </c>
      <c r="E48" s="57">
        <f t="shared" si="6"/>
        <v>2.3600000000000003</v>
      </c>
      <c r="F48" s="61">
        <f t="shared" si="31"/>
        <v>16.949152542372879</v>
      </c>
      <c r="G48" s="57">
        <f t="shared" si="32"/>
        <v>2.3600000000000003</v>
      </c>
      <c r="H48" s="24">
        <f t="shared" si="33"/>
        <v>0.16831683168316824</v>
      </c>
      <c r="I48" s="30">
        <f t="shared" si="26"/>
        <v>135</v>
      </c>
      <c r="J48" s="28">
        <f t="shared" si="27"/>
        <v>1.3986486486486487</v>
      </c>
      <c r="K48" s="28">
        <f t="shared" si="27"/>
        <v>2.0067567567567566</v>
      </c>
      <c r="L48" s="28">
        <f t="shared" si="27"/>
        <v>2.6148648648648645</v>
      </c>
      <c r="M48" s="28">
        <f t="shared" si="27"/>
        <v>3.2229729729729732</v>
      </c>
      <c r="N48" s="28">
        <f t="shared" si="27"/>
        <v>3.8310810810810807</v>
      </c>
      <c r="O48" s="28">
        <f t="shared" si="27"/>
        <v>4.4391891891891895</v>
      </c>
      <c r="P48" s="28">
        <f t="shared" si="27"/>
        <v>5.0472972972972974</v>
      </c>
      <c r="Q48" s="28">
        <f t="shared" si="27"/>
        <v>5.6554054054054053</v>
      </c>
      <c r="R48" s="28">
        <f t="shared" si="27"/>
        <v>6.263513513513514</v>
      </c>
      <c r="S48" s="28">
        <f t="shared" si="27"/>
        <v>6.8716216216216219</v>
      </c>
    </row>
    <row r="49" spans="1:19" x14ac:dyDescent="0.2">
      <c r="A49" s="42">
        <f t="shared" si="28"/>
        <v>1.8000000000000005</v>
      </c>
      <c r="B49" s="37">
        <f t="shared" si="3"/>
        <v>2.08</v>
      </c>
      <c r="C49" s="10">
        <f t="shared" si="29"/>
        <v>19.23076923076923</v>
      </c>
      <c r="D49" s="38">
        <f t="shared" si="30"/>
        <v>2.08</v>
      </c>
      <c r="E49" s="57">
        <f t="shared" si="6"/>
        <v>2.4400000000000004</v>
      </c>
      <c r="F49" s="61">
        <f t="shared" si="31"/>
        <v>16.393442622950818</v>
      </c>
      <c r="G49" s="57">
        <f t="shared" si="32"/>
        <v>2.4400000000000004</v>
      </c>
      <c r="H49" s="24">
        <f t="shared" si="33"/>
        <v>0.17307692307692313</v>
      </c>
      <c r="I49" s="30">
        <f t="shared" si="26"/>
        <v>140</v>
      </c>
      <c r="J49" s="28">
        <f t="shared" si="27"/>
        <v>1.4504504504504503</v>
      </c>
      <c r="K49" s="28">
        <f t="shared" si="27"/>
        <v>2.0810810810810811</v>
      </c>
      <c r="L49" s="28">
        <f t="shared" si="27"/>
        <v>2.7117117117117115</v>
      </c>
      <c r="M49" s="28">
        <f t="shared" si="27"/>
        <v>3.3423423423423424</v>
      </c>
      <c r="N49" s="28">
        <f t="shared" si="27"/>
        <v>3.9729729729729728</v>
      </c>
      <c r="O49" s="28">
        <f t="shared" si="27"/>
        <v>4.6036036036036032</v>
      </c>
      <c r="P49" s="28">
        <f t="shared" si="27"/>
        <v>5.2342342342342345</v>
      </c>
      <c r="Q49" s="28">
        <f t="shared" si="27"/>
        <v>5.8648648648648658</v>
      </c>
      <c r="R49" s="28">
        <f t="shared" si="27"/>
        <v>6.4954954954954953</v>
      </c>
      <c r="S49" s="28">
        <f t="shared" si="27"/>
        <v>7.1261261261261257</v>
      </c>
    </row>
    <row r="50" spans="1:19" x14ac:dyDescent="0.2">
      <c r="A50" s="42">
        <f t="shared" si="28"/>
        <v>1.9000000000000006</v>
      </c>
      <c r="B50" s="37">
        <f t="shared" si="3"/>
        <v>2.1400000000000006</v>
      </c>
      <c r="C50" s="10">
        <f t="shared" si="29"/>
        <v>18.691588785046726</v>
      </c>
      <c r="D50" s="38">
        <f t="shared" si="30"/>
        <v>2.1400000000000006</v>
      </c>
      <c r="E50" s="57">
        <f t="shared" si="6"/>
        <v>2.5200000000000005</v>
      </c>
      <c r="F50" s="61">
        <f t="shared" si="31"/>
        <v>15.87301587301587</v>
      </c>
      <c r="G50" s="57">
        <f t="shared" si="32"/>
        <v>2.5200000000000005</v>
      </c>
      <c r="H50" s="24">
        <f t="shared" si="33"/>
        <v>0.17757009345794383</v>
      </c>
      <c r="I50" s="30">
        <f t="shared" si="26"/>
        <v>145</v>
      </c>
      <c r="J50" s="28">
        <f t="shared" si="27"/>
        <v>1.5022522522522521</v>
      </c>
      <c r="K50" s="28">
        <f t="shared" si="27"/>
        <v>2.1554054054054053</v>
      </c>
      <c r="L50" s="28">
        <f t="shared" si="27"/>
        <v>2.8085585585585582</v>
      </c>
      <c r="M50" s="28">
        <f t="shared" si="27"/>
        <v>3.461711711711712</v>
      </c>
      <c r="N50" s="28">
        <f t="shared" si="27"/>
        <v>4.1148648648648649</v>
      </c>
      <c r="O50" s="28">
        <f t="shared" si="27"/>
        <v>4.7680180180180178</v>
      </c>
      <c r="P50" s="28">
        <f t="shared" si="27"/>
        <v>5.4211711711711716</v>
      </c>
      <c r="Q50" s="28">
        <f t="shared" si="27"/>
        <v>6.0743243243243246</v>
      </c>
      <c r="R50" s="28">
        <f t="shared" si="27"/>
        <v>6.7274774774774775</v>
      </c>
      <c r="S50" s="28">
        <f t="shared" si="27"/>
        <v>7.3806306306306304</v>
      </c>
    </row>
    <row r="51" spans="1:19" x14ac:dyDescent="0.2">
      <c r="A51" s="42">
        <f t="shared" si="28"/>
        <v>2.0000000000000004</v>
      </c>
      <c r="B51" s="37">
        <f t="shared" si="3"/>
        <v>2.2000000000000002</v>
      </c>
      <c r="C51" s="10">
        <f t="shared" si="29"/>
        <v>18.18181818181818</v>
      </c>
      <c r="D51" s="38">
        <f t="shared" si="30"/>
        <v>2.2000000000000002</v>
      </c>
      <c r="E51" s="57">
        <f t="shared" si="6"/>
        <v>2.6000000000000005</v>
      </c>
      <c r="F51" s="61">
        <f t="shared" si="31"/>
        <v>15.384615384615381</v>
      </c>
      <c r="G51" s="57">
        <f t="shared" si="32"/>
        <v>2.6000000000000005</v>
      </c>
      <c r="H51" s="24">
        <f t="shared" si="33"/>
        <v>0.18181818181818188</v>
      </c>
      <c r="I51" s="30">
        <f t="shared" si="26"/>
        <v>150</v>
      </c>
      <c r="J51" s="28">
        <f t="shared" si="27"/>
        <v>1.5540540540540539</v>
      </c>
      <c r="K51" s="28">
        <f t="shared" si="27"/>
        <v>2.2297297297297294</v>
      </c>
      <c r="L51" s="28">
        <f t="shared" si="27"/>
        <v>2.9054054054054053</v>
      </c>
      <c r="M51" s="28">
        <f t="shared" si="27"/>
        <v>3.5810810810810811</v>
      </c>
      <c r="N51" s="28">
        <f t="shared" si="27"/>
        <v>4.2567567567567561</v>
      </c>
      <c r="O51" s="28">
        <f t="shared" si="27"/>
        <v>4.9324324324324325</v>
      </c>
      <c r="P51" s="28">
        <f t="shared" si="27"/>
        <v>5.6081081081081088</v>
      </c>
      <c r="Q51" s="28">
        <f t="shared" si="27"/>
        <v>6.2837837837837842</v>
      </c>
      <c r="R51" s="28">
        <f t="shared" si="27"/>
        <v>6.9594594594594588</v>
      </c>
      <c r="S51" s="28">
        <f t="shared" si="27"/>
        <v>7.6351351351351342</v>
      </c>
    </row>
    <row r="52" spans="1:19" x14ac:dyDescent="0.2">
      <c r="A52" s="42">
        <f t="shared" si="28"/>
        <v>2.1000000000000005</v>
      </c>
      <c r="B52" s="37">
        <f t="shared" si="3"/>
        <v>2.2600000000000002</v>
      </c>
      <c r="C52" s="10">
        <f t="shared" si="29"/>
        <v>17.699115044247787</v>
      </c>
      <c r="D52" s="38">
        <f t="shared" si="30"/>
        <v>2.2600000000000002</v>
      </c>
      <c r="E52" s="57">
        <f t="shared" si="6"/>
        <v>2.6800000000000006</v>
      </c>
      <c r="F52" s="61">
        <f t="shared" si="31"/>
        <v>14.925373134328355</v>
      </c>
      <c r="G52" s="57">
        <f t="shared" si="32"/>
        <v>2.6800000000000006</v>
      </c>
      <c r="H52" s="24">
        <f t="shared" si="33"/>
        <v>0.18584070796460184</v>
      </c>
    </row>
    <row r="53" spans="1:19" x14ac:dyDescent="0.2">
      <c r="A53" s="42">
        <f t="shared" si="28"/>
        <v>2.2000000000000006</v>
      </c>
      <c r="B53" s="37">
        <f t="shared" si="3"/>
        <v>2.3200000000000003</v>
      </c>
      <c r="C53" s="10">
        <f t="shared" si="29"/>
        <v>17.241379310344826</v>
      </c>
      <c r="D53" s="38">
        <f t="shared" si="30"/>
        <v>2.3200000000000003</v>
      </c>
      <c r="E53" s="57">
        <f t="shared" si="6"/>
        <v>2.7600000000000007</v>
      </c>
      <c r="F53" s="61">
        <f t="shared" si="31"/>
        <v>14.492753623188403</v>
      </c>
      <c r="G53" s="57">
        <f t="shared" si="32"/>
        <v>2.7600000000000007</v>
      </c>
      <c r="H53" s="24">
        <f t="shared" si="33"/>
        <v>0.18965517241379315</v>
      </c>
    </row>
    <row r="54" spans="1:19" x14ac:dyDescent="0.2">
      <c r="A54" s="42">
        <f t="shared" si="28"/>
        <v>2.3000000000000007</v>
      </c>
      <c r="B54" s="37">
        <f t="shared" si="3"/>
        <v>2.3800000000000003</v>
      </c>
      <c r="C54" s="10">
        <f t="shared" si="29"/>
        <v>16.806722689075627</v>
      </c>
      <c r="D54" s="38">
        <f t="shared" si="30"/>
        <v>2.3800000000000003</v>
      </c>
      <c r="E54" s="57">
        <f t="shared" si="6"/>
        <v>2.8400000000000007</v>
      </c>
      <c r="F54" s="61">
        <f t="shared" si="31"/>
        <v>14.084507042253517</v>
      </c>
      <c r="G54" s="57">
        <f t="shared" si="32"/>
        <v>2.8400000000000007</v>
      </c>
      <c r="H54" s="24">
        <f t="shared" si="33"/>
        <v>0.19327731092436995</v>
      </c>
    </row>
    <row r="55" spans="1:19" x14ac:dyDescent="0.2">
      <c r="A55" s="42">
        <f t="shared" si="28"/>
        <v>2.4000000000000008</v>
      </c>
      <c r="B55" s="37">
        <f t="shared" si="3"/>
        <v>2.4400000000000004</v>
      </c>
      <c r="C55" s="10">
        <f t="shared" si="29"/>
        <v>16.393442622950818</v>
      </c>
      <c r="D55" s="38">
        <f t="shared" si="30"/>
        <v>2.4400000000000004</v>
      </c>
      <c r="E55" s="57">
        <f t="shared" si="6"/>
        <v>2.9200000000000008</v>
      </c>
      <c r="F55" s="61">
        <f t="shared" si="31"/>
        <v>13.698630136986298</v>
      </c>
      <c r="G55" s="57">
        <f t="shared" si="32"/>
        <v>2.9200000000000008</v>
      </c>
      <c r="H55" s="24">
        <f t="shared" si="33"/>
        <v>0.19672131147541005</v>
      </c>
    </row>
    <row r="56" spans="1:19" x14ac:dyDescent="0.2">
      <c r="A56" s="43">
        <f t="shared" si="28"/>
        <v>2.5000000000000009</v>
      </c>
      <c r="B56" s="54">
        <f t="shared" si="3"/>
        <v>2.5000000000000004</v>
      </c>
      <c r="C56" s="64">
        <f t="shared" si="29"/>
        <v>15.999999999999996</v>
      </c>
      <c r="D56" s="58">
        <f t="shared" si="30"/>
        <v>2.5000000000000004</v>
      </c>
      <c r="E56" s="59">
        <f t="shared" si="6"/>
        <v>3.0000000000000009</v>
      </c>
      <c r="F56" s="62">
        <f t="shared" si="31"/>
        <v>13.333333333333329</v>
      </c>
      <c r="G56" s="59">
        <f t="shared" si="32"/>
        <v>3.0000000000000009</v>
      </c>
      <c r="H56" s="49">
        <f t="shared" si="33"/>
        <v>0.20000000000000018</v>
      </c>
    </row>
    <row r="57" spans="1:19" x14ac:dyDescent="0.2">
      <c r="A57" s="36">
        <f>A56+0.5</f>
        <v>3.0000000000000009</v>
      </c>
      <c r="B57" s="37">
        <f t="shared" si="3"/>
        <v>2.8000000000000007</v>
      </c>
      <c r="C57" s="10">
        <f t="shared" si="29"/>
        <v>14.285714285714283</v>
      </c>
      <c r="D57" s="38">
        <f t="shared" si="30"/>
        <v>2.8000000000000007</v>
      </c>
      <c r="E57" s="39">
        <f t="shared" si="6"/>
        <v>3.4000000000000008</v>
      </c>
      <c r="F57" s="12">
        <f t="shared" si="31"/>
        <v>11.764705882352938</v>
      </c>
      <c r="G57" s="39">
        <f t="shared" si="32"/>
        <v>3.4000000000000008</v>
      </c>
      <c r="H57" s="24">
        <f t="shared" si="33"/>
        <v>0.21428571428571419</v>
      </c>
    </row>
    <row r="58" spans="1:19" x14ac:dyDescent="0.2">
      <c r="A58" s="36">
        <f t="shared" ref="A58:A61" si="34">A57+0.5</f>
        <v>3.5000000000000009</v>
      </c>
      <c r="B58" s="37">
        <f t="shared" si="3"/>
        <v>3.1000000000000005</v>
      </c>
      <c r="C58" s="10">
        <f t="shared" si="29"/>
        <v>12.90322580645161</v>
      </c>
      <c r="D58" s="38">
        <f t="shared" si="30"/>
        <v>3.1000000000000005</v>
      </c>
      <c r="E58" s="39">
        <f t="shared" si="6"/>
        <v>3.8000000000000007</v>
      </c>
      <c r="F58" s="12">
        <f t="shared" si="31"/>
        <v>10.526315789473681</v>
      </c>
      <c r="G58" s="39">
        <f t="shared" si="32"/>
        <v>3.8000000000000012</v>
      </c>
      <c r="H58" s="24">
        <f t="shared" si="33"/>
        <v>0.22580645161290347</v>
      </c>
    </row>
    <row r="59" spans="1:19" x14ac:dyDescent="0.2">
      <c r="A59" s="36">
        <f t="shared" si="34"/>
        <v>4.0000000000000009</v>
      </c>
      <c r="B59" s="37">
        <f t="shared" si="3"/>
        <v>3.4000000000000004</v>
      </c>
      <c r="C59" s="10">
        <f t="shared" si="29"/>
        <v>11.76470588235294</v>
      </c>
      <c r="D59" s="38">
        <f t="shared" si="30"/>
        <v>3.4000000000000004</v>
      </c>
      <c r="E59" s="39">
        <f t="shared" si="6"/>
        <v>4.2000000000000011</v>
      </c>
      <c r="F59" s="12">
        <f t="shared" si="31"/>
        <v>9.5238095238095219</v>
      </c>
      <c r="G59" s="39">
        <f t="shared" si="32"/>
        <v>4.2000000000000011</v>
      </c>
      <c r="H59" s="24">
        <f t="shared" si="33"/>
        <v>0.2352941176470591</v>
      </c>
    </row>
    <row r="60" spans="1:19" x14ac:dyDescent="0.2">
      <c r="A60" s="36">
        <f t="shared" si="34"/>
        <v>4.5000000000000009</v>
      </c>
      <c r="B60" s="37">
        <f t="shared" si="3"/>
        <v>3.7000000000000006</v>
      </c>
      <c r="C60" s="10">
        <f t="shared" si="29"/>
        <v>10.810810810810809</v>
      </c>
      <c r="D60" s="38">
        <f t="shared" si="30"/>
        <v>3.7000000000000006</v>
      </c>
      <c r="E60" s="39">
        <f t="shared" si="6"/>
        <v>4.6000000000000014</v>
      </c>
      <c r="F60" s="12">
        <f t="shared" si="31"/>
        <v>8.6956521739130412</v>
      </c>
      <c r="G60" s="39">
        <f t="shared" si="32"/>
        <v>4.6000000000000014</v>
      </c>
      <c r="H60" s="24">
        <f t="shared" si="33"/>
        <v>0.24324324324324342</v>
      </c>
    </row>
    <row r="61" spans="1:19" x14ac:dyDescent="0.2">
      <c r="A61" s="36">
        <f t="shared" si="34"/>
        <v>5.0000000000000009</v>
      </c>
      <c r="B61" s="37">
        <f t="shared" si="3"/>
        <v>4</v>
      </c>
      <c r="C61" s="10">
        <f t="shared" si="29"/>
        <v>10</v>
      </c>
      <c r="D61" s="38">
        <f t="shared" si="30"/>
        <v>4</v>
      </c>
      <c r="E61" s="39">
        <f t="shared" si="6"/>
        <v>5.0000000000000009</v>
      </c>
      <c r="F61" s="12">
        <f t="shared" si="31"/>
        <v>7.9999999999999982</v>
      </c>
      <c r="G61" s="39">
        <f t="shared" si="32"/>
        <v>5.0000000000000009</v>
      </c>
      <c r="H61" s="24">
        <f t="shared" si="33"/>
        <v>0.25000000000000022</v>
      </c>
    </row>
    <row r="62" spans="1:19" x14ac:dyDescent="0.2">
      <c r="A62" t="s">
        <v>30</v>
      </c>
    </row>
    <row r="63" spans="1:19" x14ac:dyDescent="0.2">
      <c r="A63" t="s">
        <v>29</v>
      </c>
    </row>
    <row r="64" spans="1:19" x14ac:dyDescent="0.2">
      <c r="A64" t="s">
        <v>28</v>
      </c>
    </row>
    <row r="65" spans="1:24" x14ac:dyDescent="0.2">
      <c r="A65" t="s">
        <v>31</v>
      </c>
    </row>
    <row r="66" spans="1:24" x14ac:dyDescent="0.2">
      <c r="A66" t="s">
        <v>32</v>
      </c>
    </row>
    <row r="70" spans="1:24" ht="15" x14ac:dyDescent="0.25">
      <c r="A70" s="116" t="s">
        <v>73</v>
      </c>
      <c r="T70" s="85" t="s">
        <v>66</v>
      </c>
    </row>
    <row r="71" spans="1:24" x14ac:dyDescent="0.2">
      <c r="T71" s="85" t="s">
        <v>55</v>
      </c>
      <c r="W71" s="84">
        <f>B2</f>
        <v>1</v>
      </c>
      <c r="X71" s="86" t="s">
        <v>56</v>
      </c>
    </row>
    <row r="72" spans="1:24" x14ac:dyDescent="0.2">
      <c r="T72" s="85" t="s">
        <v>65</v>
      </c>
      <c r="W72" s="84"/>
      <c r="X72" s="86"/>
    </row>
    <row r="73" spans="1:24" ht="15" hidden="1" customHeight="1" x14ac:dyDescent="0.25">
      <c r="J73" s="2" t="s">
        <v>69</v>
      </c>
      <c r="K73" s="2"/>
      <c r="L73" s="2"/>
      <c r="M73" s="2"/>
      <c r="N73" s="2"/>
      <c r="O73" s="2"/>
      <c r="P73" s="2"/>
      <c r="Q73" s="2"/>
      <c r="R73" s="93">
        <f>J21</f>
        <v>74</v>
      </c>
      <c r="S73" s="2" t="s">
        <v>62</v>
      </c>
    </row>
    <row r="74" spans="1:24" ht="15" hidden="1" customHeight="1" x14ac:dyDescent="0.25">
      <c r="R74" s="104" t="s">
        <v>73</v>
      </c>
    </row>
    <row r="75" spans="1:24" ht="15.75" hidden="1" customHeight="1" thickBot="1" x14ac:dyDescent="0.3">
      <c r="J75" s="96" t="s">
        <v>63</v>
      </c>
      <c r="R75" s="8" t="s">
        <v>73</v>
      </c>
      <c r="S75" s="109" t="s">
        <v>11</v>
      </c>
    </row>
    <row r="76" spans="1:24" ht="15" hidden="1" customHeight="1" x14ac:dyDescent="0.25">
      <c r="R76" s="105" t="s">
        <v>73</v>
      </c>
      <c r="S76" s="110"/>
    </row>
    <row r="77" spans="1:24" ht="15" hidden="1" customHeight="1" x14ac:dyDescent="0.25">
      <c r="J77" s="97">
        <v>300</v>
      </c>
      <c r="R77" s="104" t="s">
        <v>73</v>
      </c>
      <c r="S77" s="110"/>
    </row>
    <row r="78" spans="1:24" ht="15" hidden="1" customHeight="1" x14ac:dyDescent="0.25">
      <c r="J78" s="97">
        <f>J77-20</f>
        <v>280</v>
      </c>
      <c r="R78" s="8" t="s">
        <v>73</v>
      </c>
      <c r="S78" s="111">
        <v>3.5</v>
      </c>
    </row>
    <row r="79" spans="1:24" ht="14.25" hidden="1" customHeight="1" x14ac:dyDescent="0.2">
      <c r="J79" s="97">
        <f t="shared" ref="J79:J86" si="35">J78-20</f>
        <v>260</v>
      </c>
      <c r="R79" s="8" t="s">
        <v>73</v>
      </c>
      <c r="S79" s="110"/>
    </row>
    <row r="80" spans="1:24" ht="15" hidden="1" customHeight="1" x14ac:dyDescent="0.25">
      <c r="I80" s="102" t="s">
        <v>72</v>
      </c>
      <c r="J80" s="97">
        <f t="shared" si="35"/>
        <v>240</v>
      </c>
      <c r="M80" s="103"/>
      <c r="N80" s="103"/>
      <c r="O80" s="103"/>
      <c r="P80" s="103"/>
      <c r="Q80" s="103"/>
      <c r="R80" s="106" t="s">
        <v>73</v>
      </c>
      <c r="S80" s="110"/>
    </row>
    <row r="81" spans="1:24" ht="14.25" hidden="1" customHeight="1" x14ac:dyDescent="0.2">
      <c r="H81" s="103" t="s">
        <v>75</v>
      </c>
      <c r="I81" s="103"/>
      <c r="J81" s="97">
        <f t="shared" si="35"/>
        <v>220</v>
      </c>
      <c r="L81" s="103" t="s">
        <v>74</v>
      </c>
      <c r="R81" s="8" t="s">
        <v>73</v>
      </c>
      <c r="S81" s="110"/>
    </row>
    <row r="82" spans="1:24" ht="15" hidden="1" customHeight="1" x14ac:dyDescent="0.25">
      <c r="H82" s="103" t="s">
        <v>76</v>
      </c>
      <c r="I82" s="103"/>
      <c r="J82" s="97">
        <f t="shared" si="35"/>
        <v>200</v>
      </c>
      <c r="R82" s="107" t="s">
        <v>73</v>
      </c>
      <c r="S82" s="112">
        <v>2.5</v>
      </c>
    </row>
    <row r="83" spans="1:24" ht="14.25" hidden="1" customHeight="1" x14ac:dyDescent="0.2">
      <c r="J83" s="97">
        <f t="shared" si="35"/>
        <v>180</v>
      </c>
      <c r="R83" s="8" t="s">
        <v>73</v>
      </c>
      <c r="S83" s="110"/>
    </row>
    <row r="84" spans="1:24" ht="15" hidden="1" customHeight="1" x14ac:dyDescent="0.25">
      <c r="J84" s="97">
        <f t="shared" si="35"/>
        <v>160</v>
      </c>
      <c r="R84" s="108" t="s">
        <v>73</v>
      </c>
      <c r="S84" s="113">
        <v>1.5</v>
      </c>
    </row>
    <row r="85" spans="1:24" ht="14.25" hidden="1" customHeight="1" x14ac:dyDescent="0.2">
      <c r="J85" s="97">
        <f t="shared" si="35"/>
        <v>140</v>
      </c>
      <c r="R85" s="8" t="s">
        <v>73</v>
      </c>
      <c r="S85" s="110"/>
    </row>
    <row r="86" spans="1:24" ht="15.75" hidden="1" customHeight="1" thickBot="1" x14ac:dyDescent="0.3">
      <c r="J86" s="97">
        <f t="shared" si="35"/>
        <v>120</v>
      </c>
      <c r="R86" s="114">
        <v>0.25</v>
      </c>
      <c r="S86" s="115">
        <v>0.5</v>
      </c>
    </row>
    <row r="87" spans="1:24" ht="14.25" hidden="1" customHeight="1" x14ac:dyDescent="0.2">
      <c r="K87" s="99">
        <v>10</v>
      </c>
      <c r="L87" s="99">
        <f>K87+10</f>
        <v>20</v>
      </c>
      <c r="M87" s="99">
        <f t="shared" ref="M87:S87" si="36">L87+10</f>
        <v>30</v>
      </c>
      <c r="N87" s="99">
        <f t="shared" si="36"/>
        <v>40</v>
      </c>
      <c r="O87" s="99">
        <f t="shared" si="36"/>
        <v>50</v>
      </c>
      <c r="P87" s="99">
        <f t="shared" si="36"/>
        <v>60</v>
      </c>
      <c r="Q87" s="99">
        <f t="shared" si="36"/>
        <v>70</v>
      </c>
      <c r="R87" s="99">
        <f t="shared" si="36"/>
        <v>80</v>
      </c>
      <c r="S87" s="99">
        <f t="shared" si="36"/>
        <v>90</v>
      </c>
    </row>
    <row r="88" spans="1:24" ht="14.25" hidden="1" customHeight="1" x14ac:dyDescent="0.2">
      <c r="N88" s="98" t="s">
        <v>64</v>
      </c>
    </row>
    <row r="89" spans="1:24" ht="14.25" hidden="1" customHeight="1" x14ac:dyDescent="0.2">
      <c r="J89" s="85" t="s">
        <v>70</v>
      </c>
    </row>
    <row r="90" spans="1:24" ht="14.25" hidden="1" customHeight="1" x14ac:dyDescent="0.2">
      <c r="J90" s="100" t="s">
        <v>71</v>
      </c>
    </row>
    <row r="91" spans="1:24" x14ac:dyDescent="0.2">
      <c r="B91" t="s">
        <v>78</v>
      </c>
    </row>
    <row r="92" spans="1:24" ht="15" x14ac:dyDescent="0.25">
      <c r="A92" s="121" t="s">
        <v>102</v>
      </c>
      <c r="B92" s="123">
        <v>100</v>
      </c>
      <c r="C92" s="122" t="s">
        <v>77</v>
      </c>
      <c r="O92" s="2" t="s">
        <v>69</v>
      </c>
      <c r="P92" s="2"/>
      <c r="Q92" s="2"/>
      <c r="R92" s="2"/>
      <c r="S92" s="2"/>
      <c r="T92" s="2"/>
      <c r="U92" s="168"/>
      <c r="V92" s="168"/>
      <c r="W92" s="93">
        <f>B92</f>
        <v>100</v>
      </c>
      <c r="X92" s="2" t="s">
        <v>62</v>
      </c>
    </row>
    <row r="93" spans="1:24" ht="15" x14ac:dyDescent="0.25">
      <c r="A93" s="117" t="s">
        <v>80</v>
      </c>
      <c r="B93" s="119" t="s">
        <v>79</v>
      </c>
      <c r="C93" s="30">
        <v>10</v>
      </c>
      <c r="D93" s="30">
        <f>C93+10</f>
        <v>20</v>
      </c>
      <c r="E93" s="30">
        <f t="shared" ref="E93:N93" si="37">D93+10</f>
        <v>30</v>
      </c>
      <c r="F93" s="30">
        <f t="shared" si="37"/>
        <v>40</v>
      </c>
      <c r="G93" s="30">
        <f t="shared" si="37"/>
        <v>50</v>
      </c>
      <c r="H93" s="30">
        <f t="shared" si="37"/>
        <v>60</v>
      </c>
      <c r="I93" s="30">
        <f t="shared" si="37"/>
        <v>70</v>
      </c>
      <c r="J93" s="30">
        <f t="shared" si="37"/>
        <v>80</v>
      </c>
      <c r="K93" s="30">
        <f t="shared" si="37"/>
        <v>90</v>
      </c>
      <c r="L93" s="30">
        <f t="shared" si="37"/>
        <v>100</v>
      </c>
      <c r="M93" s="30">
        <f t="shared" si="37"/>
        <v>110</v>
      </c>
      <c r="N93" s="30">
        <f t="shared" si="37"/>
        <v>120</v>
      </c>
    </row>
    <row r="94" spans="1:24" x14ac:dyDescent="0.2">
      <c r="A94" t="s">
        <v>81</v>
      </c>
      <c r="B94" s="27">
        <v>0</v>
      </c>
      <c r="C94" s="125">
        <f t="shared" ref="C94:N109" si="38">($B$92*$B94/(C$93/60))+$B$92</f>
        <v>100</v>
      </c>
      <c r="D94" s="125">
        <f t="shared" si="38"/>
        <v>100</v>
      </c>
      <c r="E94" s="125">
        <f t="shared" si="38"/>
        <v>100</v>
      </c>
      <c r="F94" s="125">
        <f t="shared" si="38"/>
        <v>100</v>
      </c>
      <c r="G94" s="125">
        <f t="shared" si="38"/>
        <v>100</v>
      </c>
      <c r="H94" s="125">
        <f t="shared" si="38"/>
        <v>100</v>
      </c>
      <c r="I94" s="125">
        <f t="shared" si="38"/>
        <v>100</v>
      </c>
      <c r="J94" s="125">
        <f t="shared" si="38"/>
        <v>100</v>
      </c>
      <c r="K94" s="125">
        <f t="shared" si="38"/>
        <v>100</v>
      </c>
      <c r="L94" s="125">
        <f t="shared" si="38"/>
        <v>100</v>
      </c>
      <c r="M94" s="125">
        <f t="shared" si="38"/>
        <v>100</v>
      </c>
      <c r="N94" s="125">
        <f t="shared" si="38"/>
        <v>100</v>
      </c>
    </row>
    <row r="95" spans="1:24" x14ac:dyDescent="0.2">
      <c r="B95" s="28">
        <v>3.3329999999999999E-2</v>
      </c>
      <c r="C95" s="125">
        <f t="shared" si="38"/>
        <v>119.998</v>
      </c>
      <c r="D95" s="125">
        <f t="shared" si="38"/>
        <v>109.999</v>
      </c>
      <c r="E95" s="125">
        <f t="shared" si="38"/>
        <v>106.666</v>
      </c>
      <c r="F95" s="125">
        <f t="shared" si="38"/>
        <v>104.9995</v>
      </c>
      <c r="G95" s="125">
        <f t="shared" si="38"/>
        <v>103.9996</v>
      </c>
      <c r="H95" s="125">
        <f t="shared" si="38"/>
        <v>103.333</v>
      </c>
      <c r="I95" s="125">
        <f t="shared" si="38"/>
        <v>102.85685714285714</v>
      </c>
      <c r="J95" s="125">
        <f t="shared" si="38"/>
        <v>102.49975000000001</v>
      </c>
      <c r="K95" s="125">
        <f t="shared" si="38"/>
        <v>102.22199999999999</v>
      </c>
      <c r="L95" s="125">
        <f t="shared" si="38"/>
        <v>101.99979999999999</v>
      </c>
      <c r="M95" s="125">
        <f t="shared" si="38"/>
        <v>101.818</v>
      </c>
      <c r="N95" s="125">
        <f t="shared" si="38"/>
        <v>101.6665</v>
      </c>
    </row>
    <row r="96" spans="1:24" x14ac:dyDescent="0.2">
      <c r="B96" s="28">
        <f>B95+0.0333</f>
        <v>6.6629999999999995E-2</v>
      </c>
      <c r="C96" s="125">
        <f t="shared" si="38"/>
        <v>139.97800000000001</v>
      </c>
      <c r="D96" s="125">
        <f t="shared" si="38"/>
        <v>119.989</v>
      </c>
      <c r="E96" s="125">
        <f t="shared" si="38"/>
        <v>113.32599999999999</v>
      </c>
      <c r="F96" s="125">
        <f t="shared" si="38"/>
        <v>109.9945</v>
      </c>
      <c r="G96" s="125">
        <f t="shared" si="38"/>
        <v>107.9956</v>
      </c>
      <c r="H96" s="125">
        <f t="shared" si="38"/>
        <v>106.663</v>
      </c>
      <c r="I96" s="125">
        <f t="shared" si="38"/>
        <v>105.71114285714286</v>
      </c>
      <c r="J96" s="125">
        <f t="shared" si="38"/>
        <v>104.99724999999999</v>
      </c>
      <c r="K96" s="125">
        <f t="shared" si="38"/>
        <v>104.44199999999999</v>
      </c>
      <c r="L96" s="125">
        <f t="shared" si="38"/>
        <v>103.9978</v>
      </c>
      <c r="M96" s="125">
        <f t="shared" si="38"/>
        <v>103.63436363636363</v>
      </c>
      <c r="N96" s="125">
        <f t="shared" si="38"/>
        <v>103.33150000000001</v>
      </c>
    </row>
    <row r="97" spans="1:25" x14ac:dyDescent="0.2">
      <c r="A97">
        <v>2</v>
      </c>
      <c r="B97" s="36">
        <f t="shared" ref="B97:B132" si="39">B96+0.0333</f>
        <v>9.9929999999999991E-2</v>
      </c>
      <c r="C97" s="125">
        <f t="shared" si="38"/>
        <v>159.958</v>
      </c>
      <c r="D97" s="125">
        <f t="shared" si="38"/>
        <v>129.97899999999998</v>
      </c>
      <c r="E97" s="125">
        <f t="shared" si="38"/>
        <v>119.98599999999999</v>
      </c>
      <c r="F97" s="125">
        <f t="shared" si="38"/>
        <v>114.98949999999999</v>
      </c>
      <c r="G97" s="125">
        <f t="shared" si="38"/>
        <v>111.99160000000001</v>
      </c>
      <c r="H97" s="125">
        <f t="shared" si="38"/>
        <v>109.99299999999999</v>
      </c>
      <c r="I97" s="125">
        <f t="shared" si="38"/>
        <v>108.56542857142857</v>
      </c>
      <c r="J97" s="125">
        <f t="shared" si="38"/>
        <v>107.49475</v>
      </c>
      <c r="K97" s="125">
        <f t="shared" si="38"/>
        <v>106.66200000000001</v>
      </c>
      <c r="L97" s="125">
        <f t="shared" si="38"/>
        <v>105.9958</v>
      </c>
      <c r="M97" s="125">
        <f t="shared" si="38"/>
        <v>105.45072727272728</v>
      </c>
      <c r="N97" s="125">
        <f t="shared" si="38"/>
        <v>104.9965</v>
      </c>
    </row>
    <row r="98" spans="1:25" x14ac:dyDescent="0.2">
      <c r="B98" s="28">
        <f t="shared" si="39"/>
        <v>0.13322999999999999</v>
      </c>
      <c r="C98" s="125">
        <f t="shared" si="38"/>
        <v>179.93799999999999</v>
      </c>
      <c r="D98" s="125">
        <f t="shared" si="38"/>
        <v>139.96899999999999</v>
      </c>
      <c r="E98" s="125">
        <f t="shared" si="38"/>
        <v>126.646</v>
      </c>
      <c r="F98" s="125">
        <f t="shared" si="38"/>
        <v>119.9845</v>
      </c>
      <c r="G98" s="125">
        <f t="shared" si="38"/>
        <v>115.9876</v>
      </c>
      <c r="H98" s="125">
        <f t="shared" si="38"/>
        <v>113.32299999999999</v>
      </c>
      <c r="I98" s="125">
        <f t="shared" si="38"/>
        <v>111.41971428571428</v>
      </c>
      <c r="J98" s="125">
        <f t="shared" si="38"/>
        <v>109.99225</v>
      </c>
      <c r="K98" s="125">
        <f t="shared" si="38"/>
        <v>108.88200000000001</v>
      </c>
      <c r="L98" s="125">
        <f t="shared" si="38"/>
        <v>107.99379999999999</v>
      </c>
      <c r="M98" s="125">
        <f t="shared" si="38"/>
        <v>107.26709090909091</v>
      </c>
      <c r="N98" s="125">
        <f t="shared" si="38"/>
        <v>106.6615</v>
      </c>
    </row>
    <row r="99" spans="1:25" x14ac:dyDescent="0.2">
      <c r="B99" s="28">
        <f t="shared" si="39"/>
        <v>0.16652999999999998</v>
      </c>
      <c r="C99" s="125">
        <f t="shared" si="38"/>
        <v>199.91800000000001</v>
      </c>
      <c r="D99" s="125">
        <f t="shared" si="38"/>
        <v>149.959</v>
      </c>
      <c r="E99" s="125">
        <f t="shared" si="38"/>
        <v>133.30599999999998</v>
      </c>
      <c r="F99" s="125">
        <f t="shared" si="38"/>
        <v>124.9795</v>
      </c>
      <c r="G99" s="125">
        <f t="shared" si="38"/>
        <v>119.9836</v>
      </c>
      <c r="H99" s="125">
        <f t="shared" si="38"/>
        <v>116.65299999999999</v>
      </c>
      <c r="I99" s="125">
        <f t="shared" si="38"/>
        <v>114.274</v>
      </c>
      <c r="J99" s="125">
        <f t="shared" si="38"/>
        <v>112.48975</v>
      </c>
      <c r="K99" s="125">
        <f t="shared" si="38"/>
        <v>111.102</v>
      </c>
      <c r="L99" s="125">
        <f t="shared" si="38"/>
        <v>109.9918</v>
      </c>
      <c r="M99" s="125">
        <f t="shared" si="38"/>
        <v>109.08345454545454</v>
      </c>
      <c r="N99" s="125">
        <f t="shared" si="38"/>
        <v>108.3265</v>
      </c>
    </row>
    <row r="100" spans="1:25" x14ac:dyDescent="0.2">
      <c r="A100">
        <v>3</v>
      </c>
      <c r="B100" s="36">
        <f t="shared" si="39"/>
        <v>0.19982999999999998</v>
      </c>
      <c r="C100" s="125">
        <f t="shared" si="38"/>
        <v>219.89799999999997</v>
      </c>
      <c r="D100" s="125">
        <f t="shared" si="38"/>
        <v>159.94899999999998</v>
      </c>
      <c r="E100" s="125">
        <f t="shared" si="38"/>
        <v>139.96600000000001</v>
      </c>
      <c r="F100" s="125">
        <f t="shared" si="38"/>
        <v>129.97450000000001</v>
      </c>
      <c r="G100" s="125">
        <f t="shared" si="38"/>
        <v>123.97959999999999</v>
      </c>
      <c r="H100" s="125">
        <f t="shared" si="38"/>
        <v>119.983</v>
      </c>
      <c r="I100" s="125">
        <f t="shared" si="38"/>
        <v>117.12828571428571</v>
      </c>
      <c r="J100" s="125">
        <f t="shared" si="38"/>
        <v>114.98725</v>
      </c>
      <c r="K100" s="125">
        <f t="shared" si="38"/>
        <v>113.322</v>
      </c>
      <c r="L100" s="125">
        <f t="shared" si="38"/>
        <v>111.9898</v>
      </c>
      <c r="M100" s="125">
        <f t="shared" si="38"/>
        <v>110.89981818181818</v>
      </c>
      <c r="N100" s="125">
        <f t="shared" si="38"/>
        <v>109.9915</v>
      </c>
    </row>
    <row r="101" spans="1:25" x14ac:dyDescent="0.2">
      <c r="B101" s="28">
        <f t="shared" si="39"/>
        <v>0.23312999999999998</v>
      </c>
      <c r="C101" s="125">
        <f t="shared" si="38"/>
        <v>239.87800000000001</v>
      </c>
      <c r="D101" s="125">
        <f t="shared" si="38"/>
        <v>169.93900000000002</v>
      </c>
      <c r="E101" s="125">
        <f t="shared" si="38"/>
        <v>146.626</v>
      </c>
      <c r="F101" s="125">
        <f t="shared" si="38"/>
        <v>134.96950000000001</v>
      </c>
      <c r="G101" s="125">
        <f t="shared" si="38"/>
        <v>127.9756</v>
      </c>
      <c r="H101" s="125">
        <f t="shared" si="38"/>
        <v>123.313</v>
      </c>
      <c r="I101" s="125">
        <f t="shared" si="38"/>
        <v>119.98257142857142</v>
      </c>
      <c r="J101" s="125">
        <f t="shared" si="38"/>
        <v>117.48475000000001</v>
      </c>
      <c r="K101" s="125">
        <f t="shared" si="38"/>
        <v>115.542</v>
      </c>
      <c r="L101" s="125">
        <f t="shared" si="38"/>
        <v>113.98779999999999</v>
      </c>
      <c r="M101" s="125">
        <f t="shared" si="38"/>
        <v>112.71618181818182</v>
      </c>
      <c r="N101" s="125">
        <f t="shared" si="38"/>
        <v>111.65649999999999</v>
      </c>
    </row>
    <row r="102" spans="1:25" x14ac:dyDescent="0.2">
      <c r="B102" s="28">
        <f t="shared" si="39"/>
        <v>0.26643</v>
      </c>
      <c r="C102" s="125">
        <f t="shared" si="38"/>
        <v>259.858</v>
      </c>
      <c r="D102" s="125">
        <f t="shared" si="38"/>
        <v>179.929</v>
      </c>
      <c r="E102" s="125">
        <f t="shared" si="38"/>
        <v>153.286</v>
      </c>
      <c r="F102" s="125">
        <f t="shared" si="38"/>
        <v>139.96449999999999</v>
      </c>
      <c r="G102" s="125">
        <f t="shared" si="38"/>
        <v>131.9716</v>
      </c>
      <c r="H102" s="125">
        <f t="shared" si="38"/>
        <v>126.643</v>
      </c>
      <c r="I102" s="125">
        <f t="shared" si="38"/>
        <v>122.83685714285714</v>
      </c>
      <c r="J102" s="125">
        <f t="shared" si="38"/>
        <v>119.98224999999999</v>
      </c>
      <c r="K102" s="125">
        <f t="shared" si="38"/>
        <v>117.762</v>
      </c>
      <c r="L102" s="125">
        <f t="shared" si="38"/>
        <v>115.9858</v>
      </c>
      <c r="M102" s="125">
        <f t="shared" si="38"/>
        <v>114.53254545454546</v>
      </c>
      <c r="N102" s="125">
        <f t="shared" si="38"/>
        <v>113.3215</v>
      </c>
    </row>
    <row r="103" spans="1:25" x14ac:dyDescent="0.2">
      <c r="A103">
        <v>4</v>
      </c>
      <c r="B103" s="36">
        <f t="shared" si="39"/>
        <v>0.29973</v>
      </c>
      <c r="C103" s="125">
        <f t="shared" si="38"/>
        <v>279.83799999999997</v>
      </c>
      <c r="D103" s="125">
        <f t="shared" si="38"/>
        <v>189.91899999999998</v>
      </c>
      <c r="E103" s="125">
        <f t="shared" si="38"/>
        <v>159.946</v>
      </c>
      <c r="F103" s="125">
        <f t="shared" si="38"/>
        <v>144.95949999999999</v>
      </c>
      <c r="G103" s="125">
        <f t="shared" si="38"/>
        <v>135.9676</v>
      </c>
      <c r="H103" s="125">
        <f t="shared" si="38"/>
        <v>129.97300000000001</v>
      </c>
      <c r="I103" s="125">
        <f t="shared" si="38"/>
        <v>125.69114285714285</v>
      </c>
      <c r="J103" s="125">
        <f t="shared" si="38"/>
        <v>122.47975</v>
      </c>
      <c r="K103" s="125">
        <f t="shared" si="38"/>
        <v>119.982</v>
      </c>
      <c r="L103" s="125">
        <f t="shared" si="38"/>
        <v>117.9838</v>
      </c>
      <c r="M103" s="125">
        <f t="shared" si="38"/>
        <v>116.34890909090909</v>
      </c>
      <c r="N103" s="125">
        <f t="shared" si="38"/>
        <v>114.98650000000001</v>
      </c>
    </row>
    <row r="104" spans="1:25" x14ac:dyDescent="0.2">
      <c r="B104" s="28">
        <f t="shared" si="39"/>
        <v>0.33302999999999999</v>
      </c>
      <c r="C104" s="125">
        <f t="shared" si="38"/>
        <v>299.81799999999998</v>
      </c>
      <c r="D104" s="125">
        <f t="shared" si="38"/>
        <v>199.90899999999999</v>
      </c>
      <c r="E104" s="125">
        <f t="shared" si="38"/>
        <v>166.60599999999999</v>
      </c>
      <c r="F104" s="125">
        <f t="shared" si="38"/>
        <v>149.9545</v>
      </c>
      <c r="G104" s="125">
        <f t="shared" si="38"/>
        <v>139.96359999999999</v>
      </c>
      <c r="H104" s="125">
        <f t="shared" si="38"/>
        <v>133.303</v>
      </c>
      <c r="I104" s="125">
        <f t="shared" si="38"/>
        <v>128.54542857142857</v>
      </c>
      <c r="J104" s="125">
        <f t="shared" si="38"/>
        <v>124.97725</v>
      </c>
      <c r="K104" s="125">
        <f t="shared" si="38"/>
        <v>122.202</v>
      </c>
      <c r="L104" s="125">
        <f t="shared" si="38"/>
        <v>119.98179999999999</v>
      </c>
      <c r="M104" s="125">
        <f t="shared" si="38"/>
        <v>118.16527272727272</v>
      </c>
      <c r="N104" s="125">
        <f t="shared" si="38"/>
        <v>116.6515</v>
      </c>
    </row>
    <row r="105" spans="1:25" x14ac:dyDescent="0.2">
      <c r="B105" s="28">
        <f t="shared" si="39"/>
        <v>0.36632999999999999</v>
      </c>
      <c r="C105" s="125">
        <f t="shared" si="38"/>
        <v>319.798</v>
      </c>
      <c r="D105" s="125">
        <f t="shared" si="38"/>
        <v>209.899</v>
      </c>
      <c r="E105" s="125">
        <f t="shared" si="38"/>
        <v>173.26599999999999</v>
      </c>
      <c r="F105" s="125">
        <f t="shared" si="38"/>
        <v>154.9495</v>
      </c>
      <c r="G105" s="125">
        <f t="shared" si="38"/>
        <v>143.95959999999999</v>
      </c>
      <c r="H105" s="125">
        <f t="shared" si="38"/>
        <v>136.63299999999998</v>
      </c>
      <c r="I105" s="125">
        <f t="shared" si="38"/>
        <v>131.39971428571428</v>
      </c>
      <c r="J105" s="125">
        <f t="shared" si="38"/>
        <v>127.47475</v>
      </c>
      <c r="K105" s="125">
        <f t="shared" si="38"/>
        <v>124.422</v>
      </c>
      <c r="L105" s="125">
        <f t="shared" si="38"/>
        <v>121.9798</v>
      </c>
      <c r="M105" s="125">
        <f t="shared" si="38"/>
        <v>119.98163636363637</v>
      </c>
      <c r="N105" s="125">
        <f t="shared" si="38"/>
        <v>118.31649999999999</v>
      </c>
      <c r="X105" s="169" t="s">
        <v>188</v>
      </c>
    </row>
    <row r="106" spans="1:25" x14ac:dyDescent="0.2">
      <c r="A106">
        <v>5</v>
      </c>
      <c r="B106" s="36">
        <f t="shared" si="39"/>
        <v>0.39962999999999999</v>
      </c>
      <c r="C106" s="125">
        <f t="shared" si="38"/>
        <v>339.77800000000002</v>
      </c>
      <c r="D106" s="125">
        <f t="shared" si="38"/>
        <v>219.88900000000001</v>
      </c>
      <c r="E106" s="125">
        <f t="shared" si="38"/>
        <v>179.92599999999999</v>
      </c>
      <c r="F106" s="125">
        <f t="shared" si="38"/>
        <v>159.94450000000001</v>
      </c>
      <c r="G106" s="125">
        <f t="shared" si="38"/>
        <v>147.9556</v>
      </c>
      <c r="H106" s="125">
        <f t="shared" si="38"/>
        <v>139.96299999999999</v>
      </c>
      <c r="I106" s="125">
        <f t="shared" si="38"/>
        <v>134.25399999999999</v>
      </c>
      <c r="J106" s="125">
        <f t="shared" si="38"/>
        <v>129.97225</v>
      </c>
      <c r="K106" s="125">
        <f t="shared" si="38"/>
        <v>126.642</v>
      </c>
      <c r="L106" s="125">
        <f t="shared" si="38"/>
        <v>123.9778</v>
      </c>
      <c r="M106" s="125">
        <f t="shared" si="38"/>
        <v>121.798</v>
      </c>
      <c r="N106" s="125">
        <f t="shared" si="38"/>
        <v>119.9815</v>
      </c>
      <c r="X106" s="169" t="s">
        <v>187</v>
      </c>
    </row>
    <row r="107" spans="1:25" ht="15" x14ac:dyDescent="0.25">
      <c r="B107" s="28">
        <f t="shared" si="39"/>
        <v>0.43292999999999998</v>
      </c>
      <c r="C107" s="125">
        <f t="shared" si="38"/>
        <v>359.75800000000004</v>
      </c>
      <c r="D107" s="125">
        <f t="shared" si="38"/>
        <v>229.87900000000002</v>
      </c>
      <c r="E107" s="125">
        <f t="shared" si="38"/>
        <v>186.58600000000001</v>
      </c>
      <c r="F107" s="125">
        <f t="shared" si="38"/>
        <v>164.93950000000001</v>
      </c>
      <c r="G107" s="125">
        <f t="shared" si="38"/>
        <v>151.95159999999998</v>
      </c>
      <c r="H107" s="125">
        <f t="shared" si="38"/>
        <v>143.29300000000001</v>
      </c>
      <c r="I107" s="125">
        <f t="shared" si="38"/>
        <v>137.10828571428573</v>
      </c>
      <c r="J107" s="125">
        <f t="shared" si="38"/>
        <v>132.46975</v>
      </c>
      <c r="K107" s="125">
        <f t="shared" si="38"/>
        <v>128.86199999999999</v>
      </c>
      <c r="L107" s="125">
        <f t="shared" si="38"/>
        <v>125.97579999999999</v>
      </c>
      <c r="M107" s="125">
        <f t="shared" si="38"/>
        <v>123.61436363636363</v>
      </c>
      <c r="N107" s="125">
        <f t="shared" si="38"/>
        <v>121.6465</v>
      </c>
      <c r="X107" s="141" t="s">
        <v>11</v>
      </c>
      <c r="Y107" s="139" t="s">
        <v>84</v>
      </c>
    </row>
    <row r="108" spans="1:25" ht="15" x14ac:dyDescent="0.25">
      <c r="B108" s="28">
        <f t="shared" si="39"/>
        <v>0.46622999999999998</v>
      </c>
      <c r="C108" s="125">
        <f t="shared" si="38"/>
        <v>379.738</v>
      </c>
      <c r="D108" s="125">
        <f t="shared" si="38"/>
        <v>239.869</v>
      </c>
      <c r="E108" s="125">
        <f t="shared" si="38"/>
        <v>193.24599999999998</v>
      </c>
      <c r="F108" s="125">
        <f t="shared" si="38"/>
        <v>169.93450000000001</v>
      </c>
      <c r="G108" s="125">
        <f t="shared" si="38"/>
        <v>155.94759999999999</v>
      </c>
      <c r="H108" s="125">
        <f t="shared" si="38"/>
        <v>146.62299999999999</v>
      </c>
      <c r="I108" s="125">
        <f t="shared" si="38"/>
        <v>139.96257142857144</v>
      </c>
      <c r="J108" s="125">
        <f t="shared" si="38"/>
        <v>134.96725000000001</v>
      </c>
      <c r="K108" s="125">
        <f t="shared" si="38"/>
        <v>131.08199999999999</v>
      </c>
      <c r="L108" s="125">
        <f t="shared" si="38"/>
        <v>127.9738</v>
      </c>
      <c r="M108" s="125">
        <f t="shared" si="38"/>
        <v>125.43072727272727</v>
      </c>
      <c r="N108" s="125">
        <f t="shared" si="38"/>
        <v>123.3115</v>
      </c>
      <c r="X108" s="159">
        <v>4</v>
      </c>
      <c r="Y108" s="140">
        <v>16</v>
      </c>
    </row>
    <row r="109" spans="1:25" ht="15" x14ac:dyDescent="0.25">
      <c r="A109">
        <v>6</v>
      </c>
      <c r="B109" s="36">
        <f t="shared" si="39"/>
        <v>0.49952999999999997</v>
      </c>
      <c r="C109" s="125">
        <f t="shared" si="38"/>
        <v>399.71800000000002</v>
      </c>
      <c r="D109" s="125">
        <f t="shared" si="38"/>
        <v>249.85900000000001</v>
      </c>
      <c r="E109" s="125">
        <f t="shared" si="38"/>
        <v>199.90600000000001</v>
      </c>
      <c r="F109" s="125">
        <f t="shared" si="38"/>
        <v>174.92950000000002</v>
      </c>
      <c r="G109" s="125">
        <f t="shared" si="38"/>
        <v>159.9436</v>
      </c>
      <c r="H109" s="125">
        <f t="shared" si="38"/>
        <v>149.953</v>
      </c>
      <c r="I109" s="125">
        <f t="shared" si="38"/>
        <v>142.81685714285715</v>
      </c>
      <c r="J109" s="125">
        <f t="shared" si="38"/>
        <v>137.46475000000001</v>
      </c>
      <c r="K109" s="125">
        <f t="shared" si="38"/>
        <v>133.30199999999999</v>
      </c>
      <c r="L109" s="125">
        <f t="shared" si="38"/>
        <v>129.9718</v>
      </c>
      <c r="M109" s="125">
        <f t="shared" si="38"/>
        <v>127.2470909090909</v>
      </c>
      <c r="N109" s="125">
        <f t="shared" si="38"/>
        <v>124.9765</v>
      </c>
      <c r="X109" s="160">
        <v>2.5</v>
      </c>
      <c r="Y109" s="140">
        <v>15</v>
      </c>
    </row>
    <row r="110" spans="1:25" ht="15" x14ac:dyDescent="0.25">
      <c r="A110">
        <v>7</v>
      </c>
      <c r="B110" s="35">
        <f t="shared" si="39"/>
        <v>0.53283000000000003</v>
      </c>
      <c r="C110" s="124">
        <f>($B$92*$B110/(C$93/60))+$B$92</f>
        <v>419.69800000000004</v>
      </c>
      <c r="D110" s="124">
        <f t="shared" ref="D110:N110" si="40">($B$92*$B110/(D$93/60))+$B$92</f>
        <v>259.84900000000005</v>
      </c>
      <c r="E110" s="124">
        <f t="shared" si="40"/>
        <v>206.566</v>
      </c>
      <c r="F110" s="124">
        <f t="shared" si="40"/>
        <v>179.92450000000002</v>
      </c>
      <c r="G110" s="124">
        <f t="shared" si="40"/>
        <v>163.93959999999998</v>
      </c>
      <c r="H110" s="124">
        <f t="shared" si="40"/>
        <v>153.28300000000002</v>
      </c>
      <c r="I110" s="124">
        <f t="shared" si="40"/>
        <v>145.67114285714285</v>
      </c>
      <c r="J110" s="124">
        <f t="shared" si="40"/>
        <v>139.96225000000001</v>
      </c>
      <c r="K110" s="124">
        <f t="shared" si="40"/>
        <v>135.52199999999999</v>
      </c>
      <c r="L110" s="124">
        <f t="shared" si="40"/>
        <v>131.96979999999999</v>
      </c>
      <c r="M110" s="124">
        <f t="shared" si="40"/>
        <v>129.06345454545453</v>
      </c>
      <c r="N110" s="124">
        <f t="shared" si="40"/>
        <v>126.64150000000001</v>
      </c>
      <c r="X110" s="161">
        <v>2</v>
      </c>
      <c r="Y110" s="140">
        <v>14</v>
      </c>
    </row>
    <row r="111" spans="1:25" ht="15" x14ac:dyDescent="0.25">
      <c r="B111" s="28">
        <f t="shared" si="39"/>
        <v>0.56613000000000002</v>
      </c>
      <c r="C111" s="125">
        <f t="shared" ref="C111:N150" si="41">($B$92*$B111/(C$93/60))+$B$92</f>
        <v>439.678</v>
      </c>
      <c r="D111" s="125">
        <f t="shared" si="41"/>
        <v>269.839</v>
      </c>
      <c r="E111" s="125">
        <f t="shared" si="41"/>
        <v>213.226</v>
      </c>
      <c r="F111" s="125">
        <f t="shared" si="41"/>
        <v>184.9195</v>
      </c>
      <c r="G111" s="125">
        <f t="shared" si="41"/>
        <v>167.93559999999999</v>
      </c>
      <c r="H111" s="125">
        <f t="shared" si="41"/>
        <v>156.613</v>
      </c>
      <c r="I111" s="125">
        <f t="shared" si="41"/>
        <v>148.52542857142856</v>
      </c>
      <c r="J111" s="125">
        <f t="shared" si="41"/>
        <v>142.45974999999999</v>
      </c>
      <c r="K111" s="125">
        <f t="shared" si="41"/>
        <v>137.74199999999999</v>
      </c>
      <c r="L111" s="125">
        <f t="shared" si="41"/>
        <v>133.96780000000001</v>
      </c>
      <c r="M111" s="125">
        <f t="shared" si="41"/>
        <v>130.87981818181819</v>
      </c>
      <c r="N111" s="125">
        <f t="shared" si="41"/>
        <v>128.3065</v>
      </c>
      <c r="X111" s="162">
        <v>1.5</v>
      </c>
      <c r="Y111" s="140">
        <v>13</v>
      </c>
    </row>
    <row r="112" spans="1:25" ht="15" x14ac:dyDescent="0.25">
      <c r="A112">
        <v>8</v>
      </c>
      <c r="B112" s="36">
        <f t="shared" si="39"/>
        <v>0.59943000000000002</v>
      </c>
      <c r="C112" s="125">
        <f t="shared" si="41"/>
        <v>459.65800000000007</v>
      </c>
      <c r="D112" s="125">
        <f t="shared" si="41"/>
        <v>279.82900000000006</v>
      </c>
      <c r="E112" s="125">
        <f t="shared" si="41"/>
        <v>219.88600000000002</v>
      </c>
      <c r="F112" s="125">
        <f t="shared" si="41"/>
        <v>189.91450000000003</v>
      </c>
      <c r="G112" s="125">
        <f t="shared" si="41"/>
        <v>171.9316</v>
      </c>
      <c r="H112" s="125">
        <f t="shared" si="41"/>
        <v>159.94300000000001</v>
      </c>
      <c r="I112" s="125">
        <f t="shared" si="41"/>
        <v>151.37971428571427</v>
      </c>
      <c r="J112" s="125">
        <f t="shared" si="41"/>
        <v>144.95725000000002</v>
      </c>
      <c r="K112" s="125">
        <f t="shared" si="41"/>
        <v>139.96199999999999</v>
      </c>
      <c r="L112" s="125">
        <f t="shared" si="41"/>
        <v>135.9658</v>
      </c>
      <c r="M112" s="125">
        <f t="shared" si="41"/>
        <v>132.69618181818183</v>
      </c>
      <c r="N112" s="125">
        <f t="shared" si="41"/>
        <v>129.97149999999999</v>
      </c>
      <c r="X112" s="154">
        <f t="shared" ref="X112:X123" si="42">D156</f>
        <v>0.99902999999999997</v>
      </c>
      <c r="Y112" s="140">
        <v>12</v>
      </c>
    </row>
    <row r="113" spans="1:26" ht="15" x14ac:dyDescent="0.25">
      <c r="B113" s="28">
        <f t="shared" si="39"/>
        <v>0.63273000000000001</v>
      </c>
      <c r="C113" s="125">
        <f t="shared" si="41"/>
        <v>479.63800000000003</v>
      </c>
      <c r="D113" s="125">
        <f t="shared" si="41"/>
        <v>289.81900000000002</v>
      </c>
      <c r="E113" s="125">
        <f t="shared" si="41"/>
        <v>226.54599999999999</v>
      </c>
      <c r="F113" s="125">
        <f t="shared" si="41"/>
        <v>194.90950000000001</v>
      </c>
      <c r="G113" s="125">
        <f t="shared" si="41"/>
        <v>175.92759999999998</v>
      </c>
      <c r="H113" s="125">
        <f t="shared" si="41"/>
        <v>163.273</v>
      </c>
      <c r="I113" s="125">
        <f t="shared" si="41"/>
        <v>154.23400000000001</v>
      </c>
      <c r="J113" s="125">
        <f t="shared" si="41"/>
        <v>147.45474999999999</v>
      </c>
      <c r="K113" s="125">
        <f t="shared" si="41"/>
        <v>142.18200000000002</v>
      </c>
      <c r="L113" s="125">
        <f t="shared" si="41"/>
        <v>137.96379999999999</v>
      </c>
      <c r="M113" s="125">
        <f t="shared" si="41"/>
        <v>134.51254545454546</v>
      </c>
      <c r="N113" s="125">
        <f t="shared" si="41"/>
        <v>131.63650000000001</v>
      </c>
      <c r="X113" s="142">
        <f t="shared" si="42"/>
        <v>0.89912999999999998</v>
      </c>
      <c r="Y113" s="140">
        <f>Y112-1</f>
        <v>11</v>
      </c>
    </row>
    <row r="114" spans="1:26" ht="15" x14ac:dyDescent="0.25">
      <c r="B114" s="28">
        <f t="shared" si="39"/>
        <v>0.66603000000000001</v>
      </c>
      <c r="C114" s="125">
        <f t="shared" si="41"/>
        <v>499.61799999999999</v>
      </c>
      <c r="D114" s="125">
        <f t="shared" si="41"/>
        <v>299.80899999999997</v>
      </c>
      <c r="E114" s="125">
        <f t="shared" si="41"/>
        <v>233.20599999999999</v>
      </c>
      <c r="F114" s="125">
        <f t="shared" si="41"/>
        <v>199.90449999999998</v>
      </c>
      <c r="G114" s="125">
        <f t="shared" si="41"/>
        <v>179.92359999999999</v>
      </c>
      <c r="H114" s="125">
        <f t="shared" si="41"/>
        <v>166.60300000000001</v>
      </c>
      <c r="I114" s="125">
        <f t="shared" si="41"/>
        <v>157.08828571428569</v>
      </c>
      <c r="J114" s="125">
        <f t="shared" si="41"/>
        <v>149.95224999999999</v>
      </c>
      <c r="K114" s="125">
        <f t="shared" si="41"/>
        <v>144.40199999999999</v>
      </c>
      <c r="L114" s="125">
        <f t="shared" si="41"/>
        <v>139.96179999999998</v>
      </c>
      <c r="M114" s="125">
        <f t="shared" si="41"/>
        <v>136.32890909090909</v>
      </c>
      <c r="N114" s="125">
        <f t="shared" si="41"/>
        <v>133.3015</v>
      </c>
      <c r="X114" s="143">
        <f t="shared" si="42"/>
        <v>0.79923</v>
      </c>
      <c r="Y114" s="140">
        <f t="shared" ref="Y114:Y123" si="43">Y113-1</f>
        <v>10</v>
      </c>
    </row>
    <row r="115" spans="1:26" ht="15" x14ac:dyDescent="0.25">
      <c r="A115">
        <v>9</v>
      </c>
      <c r="B115" s="36">
        <f t="shared" si="39"/>
        <v>0.69933000000000001</v>
      </c>
      <c r="C115" s="125">
        <f t="shared" si="41"/>
        <v>519.59800000000007</v>
      </c>
      <c r="D115" s="125">
        <f t="shared" si="41"/>
        <v>309.79900000000004</v>
      </c>
      <c r="E115" s="125">
        <f t="shared" si="41"/>
        <v>239.86600000000001</v>
      </c>
      <c r="F115" s="125">
        <f t="shared" si="41"/>
        <v>204.89950000000002</v>
      </c>
      <c r="G115" s="125">
        <f t="shared" si="41"/>
        <v>183.9196</v>
      </c>
      <c r="H115" s="125">
        <f t="shared" si="41"/>
        <v>169.93299999999999</v>
      </c>
      <c r="I115" s="125">
        <f t="shared" si="41"/>
        <v>159.94257142857143</v>
      </c>
      <c r="J115" s="125">
        <f t="shared" si="41"/>
        <v>152.44974999999999</v>
      </c>
      <c r="K115" s="125">
        <f t="shared" si="41"/>
        <v>146.62200000000001</v>
      </c>
      <c r="L115" s="125">
        <f t="shared" si="41"/>
        <v>141.9598</v>
      </c>
      <c r="M115" s="125">
        <f t="shared" si="41"/>
        <v>138.14527272727273</v>
      </c>
      <c r="N115" s="125">
        <f t="shared" si="41"/>
        <v>134.9665</v>
      </c>
      <c r="X115" s="144">
        <f t="shared" si="42"/>
        <v>0.69933000000000001</v>
      </c>
      <c r="Y115" s="140">
        <f t="shared" si="43"/>
        <v>9</v>
      </c>
    </row>
    <row r="116" spans="1:26" ht="15" x14ac:dyDescent="0.25">
      <c r="B116" s="28">
        <f t="shared" si="39"/>
        <v>0.73263</v>
      </c>
      <c r="C116" s="125">
        <f t="shared" si="41"/>
        <v>539.57799999999997</v>
      </c>
      <c r="D116" s="125">
        <f t="shared" si="41"/>
        <v>319.78899999999999</v>
      </c>
      <c r="E116" s="125">
        <f t="shared" si="41"/>
        <v>246.52600000000001</v>
      </c>
      <c r="F116" s="125">
        <f t="shared" si="41"/>
        <v>209.89449999999999</v>
      </c>
      <c r="G116" s="125">
        <f t="shared" si="41"/>
        <v>187.91559999999998</v>
      </c>
      <c r="H116" s="125">
        <f t="shared" si="41"/>
        <v>173.26300000000001</v>
      </c>
      <c r="I116" s="125">
        <f t="shared" si="41"/>
        <v>162.79685714285714</v>
      </c>
      <c r="J116" s="125">
        <f t="shared" si="41"/>
        <v>154.94725</v>
      </c>
      <c r="K116" s="125">
        <f t="shared" si="41"/>
        <v>148.84200000000001</v>
      </c>
      <c r="L116" s="125">
        <f t="shared" si="41"/>
        <v>143.95779999999999</v>
      </c>
      <c r="M116" s="125">
        <f t="shared" si="41"/>
        <v>139.96163636363636</v>
      </c>
      <c r="N116" s="125">
        <f t="shared" si="41"/>
        <v>136.63150000000002</v>
      </c>
      <c r="X116" s="145">
        <f t="shared" si="42"/>
        <v>0.59943000000000002</v>
      </c>
      <c r="Y116" s="140">
        <f t="shared" si="43"/>
        <v>8</v>
      </c>
    </row>
    <row r="117" spans="1:26" ht="15" x14ac:dyDescent="0.25">
      <c r="B117" s="28">
        <f t="shared" si="39"/>
        <v>0.76593</v>
      </c>
      <c r="C117" s="125">
        <f t="shared" si="41"/>
        <v>559.55799999999999</v>
      </c>
      <c r="D117" s="125">
        <f t="shared" si="41"/>
        <v>329.779</v>
      </c>
      <c r="E117" s="125">
        <f t="shared" si="41"/>
        <v>253.18600000000001</v>
      </c>
      <c r="F117" s="125">
        <f t="shared" si="41"/>
        <v>214.8895</v>
      </c>
      <c r="G117" s="125">
        <f t="shared" si="41"/>
        <v>191.91160000000002</v>
      </c>
      <c r="H117" s="125">
        <f t="shared" si="41"/>
        <v>176.59300000000002</v>
      </c>
      <c r="I117" s="125">
        <f t="shared" si="41"/>
        <v>165.65114285714287</v>
      </c>
      <c r="J117" s="125">
        <f t="shared" si="41"/>
        <v>157.44475</v>
      </c>
      <c r="K117" s="125">
        <f t="shared" si="41"/>
        <v>151.06200000000001</v>
      </c>
      <c r="L117" s="125">
        <f t="shared" si="41"/>
        <v>145.95580000000001</v>
      </c>
      <c r="M117" s="125">
        <f t="shared" si="41"/>
        <v>141.77800000000002</v>
      </c>
      <c r="N117" s="125">
        <f t="shared" si="41"/>
        <v>138.29650000000001</v>
      </c>
      <c r="X117" s="146">
        <f t="shared" si="42"/>
        <v>0.53283000000000003</v>
      </c>
      <c r="Y117" s="163">
        <f t="shared" si="43"/>
        <v>7</v>
      </c>
    </row>
    <row r="118" spans="1:26" ht="15" x14ac:dyDescent="0.25">
      <c r="A118">
        <v>10</v>
      </c>
      <c r="B118" s="36">
        <f t="shared" si="39"/>
        <v>0.79923</v>
      </c>
      <c r="C118" s="125">
        <f t="shared" si="41"/>
        <v>579.53800000000001</v>
      </c>
      <c r="D118" s="125">
        <f t="shared" si="41"/>
        <v>339.76900000000001</v>
      </c>
      <c r="E118" s="125">
        <f t="shared" si="41"/>
        <v>259.846</v>
      </c>
      <c r="F118" s="125">
        <f t="shared" si="41"/>
        <v>219.8845</v>
      </c>
      <c r="G118" s="125">
        <f t="shared" si="41"/>
        <v>195.9076</v>
      </c>
      <c r="H118" s="125">
        <f t="shared" si="41"/>
        <v>179.923</v>
      </c>
      <c r="I118" s="125">
        <f t="shared" si="41"/>
        <v>168.50542857142858</v>
      </c>
      <c r="J118" s="125">
        <f t="shared" si="41"/>
        <v>159.94225</v>
      </c>
      <c r="K118" s="125">
        <f t="shared" si="41"/>
        <v>153.28200000000001</v>
      </c>
      <c r="L118" s="125">
        <f t="shared" si="41"/>
        <v>147.9538</v>
      </c>
      <c r="M118" s="125">
        <f t="shared" si="41"/>
        <v>143.59436363636365</v>
      </c>
      <c r="N118" s="125">
        <f t="shared" si="41"/>
        <v>139.9615</v>
      </c>
      <c r="X118" s="147">
        <f t="shared" si="42"/>
        <v>0.49952999999999997</v>
      </c>
      <c r="Y118" s="140">
        <f t="shared" si="43"/>
        <v>6</v>
      </c>
    </row>
    <row r="119" spans="1:26" ht="15" x14ac:dyDescent="0.25">
      <c r="B119" s="28">
        <f t="shared" si="39"/>
        <v>0.83252999999999999</v>
      </c>
      <c r="C119" s="125">
        <f t="shared" si="41"/>
        <v>599.51800000000003</v>
      </c>
      <c r="D119" s="125">
        <f t="shared" si="41"/>
        <v>349.75900000000001</v>
      </c>
      <c r="E119" s="125">
        <f t="shared" si="41"/>
        <v>266.50599999999997</v>
      </c>
      <c r="F119" s="125">
        <f t="shared" si="41"/>
        <v>224.87950000000001</v>
      </c>
      <c r="G119" s="125">
        <f t="shared" si="41"/>
        <v>199.90359999999998</v>
      </c>
      <c r="H119" s="125">
        <f t="shared" si="41"/>
        <v>183.25299999999999</v>
      </c>
      <c r="I119" s="125">
        <f t="shared" si="41"/>
        <v>171.35971428571429</v>
      </c>
      <c r="J119" s="125">
        <f t="shared" si="41"/>
        <v>162.43975</v>
      </c>
      <c r="K119" s="125">
        <f t="shared" si="41"/>
        <v>155.50200000000001</v>
      </c>
      <c r="L119" s="125">
        <f t="shared" si="41"/>
        <v>149.95179999999999</v>
      </c>
      <c r="M119" s="125">
        <f t="shared" si="41"/>
        <v>145.41072727272729</v>
      </c>
      <c r="N119" s="125">
        <f t="shared" si="41"/>
        <v>141.62649999999999</v>
      </c>
      <c r="X119" s="148">
        <f t="shared" si="42"/>
        <v>0.39962999999999999</v>
      </c>
      <c r="Y119" s="140">
        <f t="shared" si="43"/>
        <v>5</v>
      </c>
    </row>
    <row r="120" spans="1:26" ht="15" x14ac:dyDescent="0.25">
      <c r="B120" s="28">
        <f t="shared" si="39"/>
        <v>0.86582999999999999</v>
      </c>
      <c r="C120" s="125">
        <f t="shared" si="41"/>
        <v>619.49800000000005</v>
      </c>
      <c r="D120" s="125">
        <f t="shared" si="41"/>
        <v>359.74900000000002</v>
      </c>
      <c r="E120" s="125">
        <f t="shared" si="41"/>
        <v>273.166</v>
      </c>
      <c r="F120" s="125">
        <f t="shared" si="41"/>
        <v>229.87450000000001</v>
      </c>
      <c r="G120" s="125">
        <f t="shared" si="41"/>
        <v>203.89959999999999</v>
      </c>
      <c r="H120" s="125">
        <f t="shared" si="41"/>
        <v>186.583</v>
      </c>
      <c r="I120" s="125">
        <f t="shared" si="41"/>
        <v>174.214</v>
      </c>
      <c r="J120" s="125">
        <f t="shared" si="41"/>
        <v>164.93725000000001</v>
      </c>
      <c r="K120" s="125">
        <f t="shared" si="41"/>
        <v>157.72200000000001</v>
      </c>
      <c r="L120" s="125">
        <f t="shared" si="41"/>
        <v>151.94979999999998</v>
      </c>
      <c r="M120" s="125">
        <f t="shared" si="41"/>
        <v>147.22709090909092</v>
      </c>
      <c r="N120" s="125">
        <f t="shared" si="41"/>
        <v>143.29149999999998</v>
      </c>
      <c r="X120" s="149">
        <f t="shared" si="42"/>
        <v>0.29973</v>
      </c>
      <c r="Y120" s="140">
        <f t="shared" si="43"/>
        <v>4</v>
      </c>
    </row>
    <row r="121" spans="1:26" ht="15" x14ac:dyDescent="0.25">
      <c r="A121">
        <v>11</v>
      </c>
      <c r="B121" s="36">
        <f t="shared" si="39"/>
        <v>0.89912999999999998</v>
      </c>
      <c r="C121" s="125">
        <f t="shared" si="41"/>
        <v>639.47800000000007</v>
      </c>
      <c r="D121" s="125">
        <f t="shared" si="41"/>
        <v>369.73900000000003</v>
      </c>
      <c r="E121" s="125">
        <f t="shared" si="41"/>
        <v>279.82600000000002</v>
      </c>
      <c r="F121" s="125">
        <f t="shared" si="41"/>
        <v>234.86950000000002</v>
      </c>
      <c r="G121" s="125">
        <f t="shared" si="41"/>
        <v>207.8956</v>
      </c>
      <c r="H121" s="125">
        <f t="shared" si="41"/>
        <v>189.91300000000001</v>
      </c>
      <c r="I121" s="125">
        <f t="shared" si="41"/>
        <v>177.06828571428571</v>
      </c>
      <c r="J121" s="125">
        <f t="shared" si="41"/>
        <v>167.43475000000001</v>
      </c>
      <c r="K121" s="125">
        <f t="shared" si="41"/>
        <v>159.94200000000001</v>
      </c>
      <c r="L121" s="125">
        <f t="shared" si="41"/>
        <v>153.9478</v>
      </c>
      <c r="M121" s="125">
        <f t="shared" si="41"/>
        <v>149.04345454545455</v>
      </c>
      <c r="N121" s="125">
        <f t="shared" si="41"/>
        <v>144.95650000000001</v>
      </c>
      <c r="X121" s="150">
        <f t="shared" si="42"/>
        <v>0.19982999999999998</v>
      </c>
      <c r="Y121" s="140">
        <f t="shared" si="43"/>
        <v>3</v>
      </c>
    </row>
    <row r="122" spans="1:26" ht="15" x14ac:dyDescent="0.25">
      <c r="B122" s="28">
        <f t="shared" si="39"/>
        <v>0.93242999999999998</v>
      </c>
      <c r="C122" s="125">
        <f t="shared" si="41"/>
        <v>659.45799999999997</v>
      </c>
      <c r="D122" s="125">
        <f t="shared" si="41"/>
        <v>379.72899999999998</v>
      </c>
      <c r="E122" s="125">
        <f t="shared" si="41"/>
        <v>286.48599999999999</v>
      </c>
      <c r="F122" s="125">
        <f t="shared" si="41"/>
        <v>239.86449999999999</v>
      </c>
      <c r="G122" s="125">
        <f t="shared" si="41"/>
        <v>211.89159999999998</v>
      </c>
      <c r="H122" s="125">
        <f t="shared" si="41"/>
        <v>193.24299999999999</v>
      </c>
      <c r="I122" s="125">
        <f t="shared" si="41"/>
        <v>179.92257142857142</v>
      </c>
      <c r="J122" s="125">
        <f t="shared" si="41"/>
        <v>169.93225000000001</v>
      </c>
      <c r="K122" s="125">
        <f t="shared" si="41"/>
        <v>162.16200000000001</v>
      </c>
      <c r="L122" s="125">
        <f t="shared" si="41"/>
        <v>155.94579999999999</v>
      </c>
      <c r="M122" s="125">
        <f t="shared" si="41"/>
        <v>150.85981818181818</v>
      </c>
      <c r="N122" s="125">
        <f t="shared" si="41"/>
        <v>146.6215</v>
      </c>
      <c r="X122" s="151">
        <f t="shared" si="42"/>
        <v>9.9929999999999991E-2</v>
      </c>
      <c r="Y122" s="140">
        <f t="shared" si="43"/>
        <v>2</v>
      </c>
    </row>
    <row r="123" spans="1:26" ht="15" x14ac:dyDescent="0.25">
      <c r="B123" s="28">
        <f t="shared" si="39"/>
        <v>0.96572999999999998</v>
      </c>
      <c r="C123" s="125">
        <f t="shared" si="41"/>
        <v>679.43799999999999</v>
      </c>
      <c r="D123" s="125">
        <f t="shared" si="41"/>
        <v>389.71899999999999</v>
      </c>
      <c r="E123" s="125">
        <f t="shared" si="41"/>
        <v>293.14599999999996</v>
      </c>
      <c r="F123" s="125">
        <f t="shared" si="41"/>
        <v>244.8595</v>
      </c>
      <c r="G123" s="125">
        <f t="shared" si="41"/>
        <v>215.88759999999999</v>
      </c>
      <c r="H123" s="125">
        <f t="shared" si="41"/>
        <v>196.57299999999998</v>
      </c>
      <c r="I123" s="125">
        <f t="shared" si="41"/>
        <v>182.77685714285712</v>
      </c>
      <c r="J123" s="125">
        <f t="shared" si="41"/>
        <v>172.42975000000001</v>
      </c>
      <c r="K123" s="125">
        <f t="shared" si="41"/>
        <v>164.38200000000001</v>
      </c>
      <c r="L123" s="125">
        <f t="shared" si="41"/>
        <v>157.94380000000001</v>
      </c>
      <c r="M123" s="125">
        <f t="shared" si="41"/>
        <v>152.67618181818182</v>
      </c>
      <c r="N123" s="125">
        <f t="shared" si="41"/>
        <v>148.28649999999999</v>
      </c>
      <c r="X123" s="152">
        <f t="shared" si="42"/>
        <v>0</v>
      </c>
      <c r="Y123" s="140">
        <f t="shared" si="43"/>
        <v>1</v>
      </c>
    </row>
    <row r="124" spans="1:26" x14ac:dyDescent="0.2">
      <c r="A124">
        <v>12</v>
      </c>
      <c r="B124" s="36">
        <f t="shared" si="39"/>
        <v>0.99902999999999997</v>
      </c>
      <c r="C124" s="125">
        <f t="shared" si="41"/>
        <v>699.41800000000001</v>
      </c>
      <c r="D124" s="125">
        <f t="shared" si="41"/>
        <v>399.709</v>
      </c>
      <c r="E124" s="125">
        <f t="shared" si="41"/>
        <v>299.80599999999998</v>
      </c>
      <c r="F124" s="125">
        <f t="shared" si="41"/>
        <v>249.8545</v>
      </c>
      <c r="G124" s="125">
        <f t="shared" si="41"/>
        <v>219.8836</v>
      </c>
      <c r="H124" s="125">
        <f t="shared" si="41"/>
        <v>199.90299999999999</v>
      </c>
      <c r="I124" s="125">
        <f t="shared" si="41"/>
        <v>185.63114285714283</v>
      </c>
      <c r="J124" s="125">
        <f t="shared" si="41"/>
        <v>174.92725000000002</v>
      </c>
      <c r="K124" s="125">
        <f t="shared" si="41"/>
        <v>166.60199999999998</v>
      </c>
      <c r="L124" s="125">
        <f t="shared" si="41"/>
        <v>159.9418</v>
      </c>
      <c r="M124" s="125">
        <f t="shared" si="41"/>
        <v>154.49254545454545</v>
      </c>
      <c r="N124" s="125">
        <f t="shared" si="41"/>
        <v>149.95150000000001</v>
      </c>
      <c r="Z124" s="120"/>
    </row>
    <row r="125" spans="1:26" x14ac:dyDescent="0.2">
      <c r="B125" s="28">
        <f t="shared" si="39"/>
        <v>1.03233</v>
      </c>
      <c r="C125" s="125">
        <f t="shared" si="41"/>
        <v>719.39800000000002</v>
      </c>
      <c r="D125" s="125">
        <f t="shared" si="41"/>
        <v>409.69900000000001</v>
      </c>
      <c r="E125" s="125">
        <f t="shared" si="41"/>
        <v>306.46600000000001</v>
      </c>
      <c r="F125" s="125">
        <f t="shared" si="41"/>
        <v>254.84950000000001</v>
      </c>
      <c r="G125" s="125">
        <f t="shared" si="41"/>
        <v>223.87959999999998</v>
      </c>
      <c r="H125" s="125">
        <f t="shared" si="41"/>
        <v>203.233</v>
      </c>
      <c r="I125" s="125">
        <f t="shared" si="41"/>
        <v>188.48542857142857</v>
      </c>
      <c r="J125" s="125">
        <f t="shared" si="41"/>
        <v>177.42475000000002</v>
      </c>
      <c r="K125" s="125">
        <f t="shared" si="41"/>
        <v>168.822</v>
      </c>
      <c r="L125" s="125">
        <f t="shared" si="41"/>
        <v>161.93979999999999</v>
      </c>
      <c r="M125" s="125">
        <f t="shared" si="41"/>
        <v>156.30890909090908</v>
      </c>
      <c r="N125" s="125">
        <f t="shared" si="41"/>
        <v>151.6165</v>
      </c>
    </row>
    <row r="126" spans="1:26" x14ac:dyDescent="0.2">
      <c r="B126" s="28">
        <f t="shared" si="39"/>
        <v>1.0656300000000001</v>
      </c>
      <c r="C126" s="125">
        <f t="shared" si="41"/>
        <v>739.37800000000004</v>
      </c>
      <c r="D126" s="125">
        <f t="shared" si="41"/>
        <v>419.68900000000002</v>
      </c>
      <c r="E126" s="125">
        <f t="shared" si="41"/>
        <v>313.12599999999998</v>
      </c>
      <c r="F126" s="125">
        <f t="shared" si="41"/>
        <v>259.84450000000004</v>
      </c>
      <c r="G126" s="125">
        <f t="shared" si="41"/>
        <v>227.87559999999999</v>
      </c>
      <c r="H126" s="125">
        <f t="shared" si="41"/>
        <v>206.56299999999999</v>
      </c>
      <c r="I126" s="125">
        <f t="shared" si="41"/>
        <v>191.33971428571428</v>
      </c>
      <c r="J126" s="125">
        <f t="shared" si="41"/>
        <v>179.92225000000002</v>
      </c>
      <c r="K126" s="125">
        <f t="shared" si="41"/>
        <v>171.042</v>
      </c>
      <c r="L126" s="125">
        <f t="shared" si="41"/>
        <v>163.93779999999998</v>
      </c>
      <c r="M126" s="125">
        <f t="shared" si="41"/>
        <v>158.12527272727272</v>
      </c>
      <c r="N126" s="125">
        <f t="shared" si="41"/>
        <v>153.28149999999999</v>
      </c>
    </row>
    <row r="127" spans="1:26" x14ac:dyDescent="0.2">
      <c r="B127" s="28">
        <f t="shared" si="39"/>
        <v>1.0989300000000002</v>
      </c>
      <c r="C127" s="125">
        <f t="shared" si="41"/>
        <v>759.35800000000017</v>
      </c>
      <c r="D127" s="125">
        <f t="shared" si="41"/>
        <v>429.67900000000009</v>
      </c>
      <c r="E127" s="125">
        <f t="shared" si="41"/>
        <v>319.78600000000006</v>
      </c>
      <c r="F127" s="125">
        <f t="shared" si="41"/>
        <v>264.83950000000004</v>
      </c>
      <c r="G127" s="125">
        <f t="shared" si="41"/>
        <v>231.8716</v>
      </c>
      <c r="H127" s="125">
        <f t="shared" si="41"/>
        <v>209.89300000000003</v>
      </c>
      <c r="I127" s="125">
        <f t="shared" si="41"/>
        <v>194.19400000000002</v>
      </c>
      <c r="J127" s="125">
        <f t="shared" si="41"/>
        <v>182.41975000000002</v>
      </c>
      <c r="K127" s="125">
        <f t="shared" si="41"/>
        <v>173.262</v>
      </c>
      <c r="L127" s="125">
        <f t="shared" si="41"/>
        <v>165.9358</v>
      </c>
      <c r="M127" s="125">
        <f t="shared" si="41"/>
        <v>159.94163636363638</v>
      </c>
      <c r="N127" s="125">
        <f t="shared" si="41"/>
        <v>154.94650000000001</v>
      </c>
    </row>
    <row r="128" spans="1:26" x14ac:dyDescent="0.2">
      <c r="B128" s="28">
        <f t="shared" si="39"/>
        <v>1.1322300000000003</v>
      </c>
      <c r="C128" s="125">
        <f t="shared" si="41"/>
        <v>779.33800000000019</v>
      </c>
      <c r="D128" s="125">
        <f t="shared" si="41"/>
        <v>439.6690000000001</v>
      </c>
      <c r="E128" s="125">
        <f t="shared" si="41"/>
        <v>326.44600000000003</v>
      </c>
      <c r="F128" s="125">
        <f t="shared" si="41"/>
        <v>269.83450000000005</v>
      </c>
      <c r="G128" s="125">
        <f t="shared" si="41"/>
        <v>235.86760000000004</v>
      </c>
      <c r="H128" s="125">
        <f t="shared" si="41"/>
        <v>213.22300000000001</v>
      </c>
      <c r="I128" s="125">
        <f t="shared" si="41"/>
        <v>197.04828571428573</v>
      </c>
      <c r="J128" s="125">
        <f t="shared" si="41"/>
        <v>184.91725000000002</v>
      </c>
      <c r="K128" s="125">
        <f t="shared" si="41"/>
        <v>175.48200000000003</v>
      </c>
      <c r="L128" s="125">
        <f t="shared" si="41"/>
        <v>167.93380000000002</v>
      </c>
      <c r="M128" s="125">
        <f t="shared" si="41"/>
        <v>161.75800000000001</v>
      </c>
      <c r="N128" s="125">
        <f t="shared" si="41"/>
        <v>156.61150000000001</v>
      </c>
    </row>
    <row r="129" spans="1:24" x14ac:dyDescent="0.2">
      <c r="B129" s="28">
        <f t="shared" si="39"/>
        <v>1.1655300000000004</v>
      </c>
      <c r="C129" s="125">
        <f t="shared" si="41"/>
        <v>799.31800000000032</v>
      </c>
      <c r="D129" s="125">
        <f t="shared" si="41"/>
        <v>449.65900000000016</v>
      </c>
      <c r="E129" s="125">
        <f t="shared" si="41"/>
        <v>333.10600000000011</v>
      </c>
      <c r="F129" s="125">
        <f t="shared" si="41"/>
        <v>274.82950000000005</v>
      </c>
      <c r="G129" s="125">
        <f t="shared" si="41"/>
        <v>239.86360000000005</v>
      </c>
      <c r="H129" s="125">
        <f t="shared" si="41"/>
        <v>216.55300000000005</v>
      </c>
      <c r="I129" s="125">
        <f t="shared" si="41"/>
        <v>199.90257142857146</v>
      </c>
      <c r="J129" s="125">
        <f t="shared" si="41"/>
        <v>187.41475000000003</v>
      </c>
      <c r="K129" s="125">
        <f t="shared" si="41"/>
        <v>177.70200000000003</v>
      </c>
      <c r="L129" s="125">
        <f t="shared" si="41"/>
        <v>169.93180000000001</v>
      </c>
      <c r="M129" s="125">
        <f t="shared" si="41"/>
        <v>163.57436363636367</v>
      </c>
      <c r="N129" s="125">
        <f t="shared" si="41"/>
        <v>158.27650000000003</v>
      </c>
    </row>
    <row r="130" spans="1:24" x14ac:dyDescent="0.2">
      <c r="B130" s="28">
        <f t="shared" si="39"/>
        <v>1.1988300000000005</v>
      </c>
      <c r="C130" s="125">
        <f t="shared" si="41"/>
        <v>819.29800000000034</v>
      </c>
      <c r="D130" s="125">
        <f t="shared" si="41"/>
        <v>459.64900000000017</v>
      </c>
      <c r="E130" s="125">
        <f t="shared" si="41"/>
        <v>339.76600000000008</v>
      </c>
      <c r="F130" s="125">
        <f t="shared" si="41"/>
        <v>279.82450000000006</v>
      </c>
      <c r="G130" s="125">
        <f t="shared" si="41"/>
        <v>243.85960000000006</v>
      </c>
      <c r="H130" s="125">
        <f t="shared" si="41"/>
        <v>219.88300000000004</v>
      </c>
      <c r="I130" s="125">
        <f t="shared" si="41"/>
        <v>202.7568571428572</v>
      </c>
      <c r="J130" s="125">
        <f t="shared" ref="D130:N145" si="44">($B$92*$B130/(J$93/60))+$B$92</f>
        <v>189.91225000000003</v>
      </c>
      <c r="K130" s="125">
        <f t="shared" si="44"/>
        <v>179.92200000000003</v>
      </c>
      <c r="L130" s="125">
        <f t="shared" si="44"/>
        <v>171.92980000000003</v>
      </c>
      <c r="M130" s="125">
        <f t="shared" si="44"/>
        <v>165.3907272727273</v>
      </c>
      <c r="N130" s="125">
        <f t="shared" si="44"/>
        <v>159.94150000000002</v>
      </c>
    </row>
    <row r="131" spans="1:24" x14ac:dyDescent="0.2">
      <c r="B131" s="28">
        <f t="shared" si="39"/>
        <v>1.2321300000000006</v>
      </c>
      <c r="C131" s="125">
        <f t="shared" si="41"/>
        <v>839.27800000000047</v>
      </c>
      <c r="D131" s="125">
        <f t="shared" si="44"/>
        <v>469.63900000000024</v>
      </c>
      <c r="E131" s="125">
        <f t="shared" si="44"/>
        <v>346.42600000000016</v>
      </c>
      <c r="F131" s="125">
        <f t="shared" si="44"/>
        <v>284.81950000000012</v>
      </c>
      <c r="G131" s="125">
        <f t="shared" si="44"/>
        <v>247.85560000000007</v>
      </c>
      <c r="H131" s="125">
        <f t="shared" si="44"/>
        <v>223.21300000000008</v>
      </c>
      <c r="I131" s="125">
        <f t="shared" si="44"/>
        <v>205.61114285714291</v>
      </c>
      <c r="J131" s="125">
        <f t="shared" si="44"/>
        <v>192.40975000000006</v>
      </c>
      <c r="K131" s="125">
        <f t="shared" si="44"/>
        <v>182.14200000000005</v>
      </c>
      <c r="L131" s="125">
        <f t="shared" si="44"/>
        <v>173.92780000000005</v>
      </c>
      <c r="M131" s="125">
        <f t="shared" si="44"/>
        <v>167.20709090909094</v>
      </c>
      <c r="N131" s="125">
        <f t="shared" si="44"/>
        <v>161.60650000000004</v>
      </c>
    </row>
    <row r="132" spans="1:24" ht="15" x14ac:dyDescent="0.25">
      <c r="B132" s="28">
        <f t="shared" si="39"/>
        <v>1.2654300000000007</v>
      </c>
      <c r="C132" s="125">
        <f t="shared" si="41"/>
        <v>859.25800000000049</v>
      </c>
      <c r="D132" s="125">
        <f t="shared" si="44"/>
        <v>479.62900000000025</v>
      </c>
      <c r="E132" s="125">
        <f t="shared" si="44"/>
        <v>353.08600000000013</v>
      </c>
      <c r="F132" s="125">
        <f t="shared" si="44"/>
        <v>289.81450000000012</v>
      </c>
      <c r="G132" s="125">
        <f t="shared" si="44"/>
        <v>251.85160000000008</v>
      </c>
      <c r="H132" s="125">
        <f t="shared" si="44"/>
        <v>226.54300000000006</v>
      </c>
      <c r="I132" s="125">
        <f t="shared" si="44"/>
        <v>208.46542857142862</v>
      </c>
      <c r="J132" s="125">
        <f t="shared" si="44"/>
        <v>194.90725000000006</v>
      </c>
      <c r="K132" s="125">
        <f t="shared" si="44"/>
        <v>184.36200000000005</v>
      </c>
      <c r="L132" s="125">
        <f t="shared" si="44"/>
        <v>175.92580000000004</v>
      </c>
      <c r="M132" s="125">
        <f t="shared" si="44"/>
        <v>169.02345454545457</v>
      </c>
      <c r="N132" s="125">
        <f t="shared" si="44"/>
        <v>163.27150000000003</v>
      </c>
      <c r="X132" s="153" t="s">
        <v>73</v>
      </c>
    </row>
    <row r="133" spans="1:24" x14ac:dyDescent="0.2">
      <c r="B133" s="41">
        <v>1.3</v>
      </c>
      <c r="C133" s="125">
        <f t="shared" si="41"/>
        <v>880</v>
      </c>
      <c r="D133" s="125">
        <f t="shared" si="44"/>
        <v>490</v>
      </c>
      <c r="E133" s="125">
        <f t="shared" si="44"/>
        <v>360</v>
      </c>
      <c r="F133" s="125">
        <f t="shared" si="44"/>
        <v>295</v>
      </c>
      <c r="G133" s="125">
        <f t="shared" si="44"/>
        <v>256</v>
      </c>
      <c r="H133" s="125">
        <f t="shared" si="44"/>
        <v>230</v>
      </c>
      <c r="I133" s="125">
        <f t="shared" si="44"/>
        <v>211.42857142857142</v>
      </c>
      <c r="J133" s="125">
        <f t="shared" si="44"/>
        <v>197.5</v>
      </c>
      <c r="K133" s="125">
        <f t="shared" si="44"/>
        <v>186.66666666666669</v>
      </c>
      <c r="L133" s="125">
        <f t="shared" si="44"/>
        <v>178</v>
      </c>
      <c r="M133" s="125">
        <f t="shared" si="44"/>
        <v>170.90909090909091</v>
      </c>
      <c r="N133" s="125">
        <f t="shared" si="44"/>
        <v>165</v>
      </c>
    </row>
    <row r="134" spans="1:24" x14ac:dyDescent="0.2">
      <c r="B134" s="42">
        <f>B133+0.1</f>
        <v>1.4000000000000001</v>
      </c>
      <c r="C134" s="125">
        <f t="shared" si="41"/>
        <v>940</v>
      </c>
      <c r="D134" s="125">
        <f t="shared" si="44"/>
        <v>520</v>
      </c>
      <c r="E134" s="125">
        <f t="shared" si="44"/>
        <v>380</v>
      </c>
      <c r="F134" s="125">
        <f t="shared" si="44"/>
        <v>310</v>
      </c>
      <c r="G134" s="125">
        <f t="shared" si="44"/>
        <v>268</v>
      </c>
      <c r="H134" s="125">
        <f t="shared" si="44"/>
        <v>240</v>
      </c>
      <c r="I134" s="125">
        <f t="shared" si="44"/>
        <v>220</v>
      </c>
      <c r="J134" s="125">
        <f t="shared" si="44"/>
        <v>205</v>
      </c>
      <c r="K134" s="125">
        <f t="shared" si="44"/>
        <v>193.33333333333331</v>
      </c>
      <c r="L134" s="125">
        <f t="shared" si="44"/>
        <v>184</v>
      </c>
      <c r="M134" s="125">
        <f t="shared" si="44"/>
        <v>176.36363636363637</v>
      </c>
      <c r="N134" s="125">
        <f t="shared" si="44"/>
        <v>170</v>
      </c>
    </row>
    <row r="135" spans="1:24" x14ac:dyDescent="0.2">
      <c r="A135">
        <v>13</v>
      </c>
      <c r="B135" s="166">
        <f t="shared" ref="B135:B145" si="45">B134+0.1</f>
        <v>1.5000000000000002</v>
      </c>
      <c r="C135" s="125">
        <f t="shared" si="41"/>
        <v>1000.0000000000002</v>
      </c>
      <c r="D135" s="125">
        <f t="shared" si="44"/>
        <v>550.00000000000011</v>
      </c>
      <c r="E135" s="125">
        <f t="shared" si="44"/>
        <v>400.00000000000006</v>
      </c>
      <c r="F135" s="125">
        <f t="shared" si="44"/>
        <v>325.00000000000006</v>
      </c>
      <c r="G135" s="125">
        <f t="shared" si="44"/>
        <v>280</v>
      </c>
      <c r="H135" s="125">
        <f t="shared" si="44"/>
        <v>250.00000000000003</v>
      </c>
      <c r="I135" s="125">
        <f t="shared" si="44"/>
        <v>228.57142857142858</v>
      </c>
      <c r="J135" s="125">
        <f t="shared" si="44"/>
        <v>212.50000000000003</v>
      </c>
      <c r="K135" s="125">
        <f t="shared" si="44"/>
        <v>200</v>
      </c>
      <c r="L135" s="125">
        <f t="shared" si="44"/>
        <v>190</v>
      </c>
      <c r="M135" s="125">
        <f t="shared" si="44"/>
        <v>181.81818181818184</v>
      </c>
      <c r="N135" s="125">
        <f t="shared" si="44"/>
        <v>175</v>
      </c>
      <c r="P135" s="85" t="s">
        <v>82</v>
      </c>
    </row>
    <row r="136" spans="1:24" x14ac:dyDescent="0.2">
      <c r="B136" s="42">
        <f t="shared" si="45"/>
        <v>1.6000000000000003</v>
      </c>
      <c r="C136" s="125">
        <f t="shared" si="41"/>
        <v>1060.0000000000002</v>
      </c>
      <c r="D136" s="125">
        <f t="shared" si="44"/>
        <v>580.00000000000011</v>
      </c>
      <c r="E136" s="125">
        <f t="shared" si="44"/>
        <v>420.00000000000006</v>
      </c>
      <c r="F136" s="125">
        <f t="shared" si="44"/>
        <v>340.00000000000006</v>
      </c>
      <c r="G136" s="125">
        <f t="shared" si="44"/>
        <v>292</v>
      </c>
      <c r="H136" s="125">
        <f t="shared" si="44"/>
        <v>260</v>
      </c>
      <c r="I136" s="125">
        <f t="shared" si="44"/>
        <v>237.14285714285717</v>
      </c>
      <c r="J136" s="125">
        <f t="shared" si="44"/>
        <v>220.00000000000003</v>
      </c>
      <c r="K136" s="125">
        <f t="shared" si="44"/>
        <v>206.66666666666669</v>
      </c>
      <c r="L136" s="125">
        <f t="shared" si="44"/>
        <v>196</v>
      </c>
      <c r="M136" s="125">
        <f t="shared" si="44"/>
        <v>187.27272727272731</v>
      </c>
      <c r="N136" s="125">
        <f t="shared" si="44"/>
        <v>180</v>
      </c>
      <c r="P136" s="100" t="s">
        <v>71</v>
      </c>
    </row>
    <row r="137" spans="1:24" x14ac:dyDescent="0.2">
      <c r="B137" s="42">
        <f t="shared" si="45"/>
        <v>1.7000000000000004</v>
      </c>
      <c r="C137" s="125">
        <f t="shared" si="41"/>
        <v>1120.0000000000002</v>
      </c>
      <c r="D137" s="125">
        <f t="shared" si="44"/>
        <v>610.00000000000011</v>
      </c>
      <c r="E137" s="125">
        <f t="shared" si="44"/>
        <v>440.00000000000006</v>
      </c>
      <c r="F137" s="125">
        <f t="shared" si="44"/>
        <v>355.00000000000006</v>
      </c>
      <c r="G137" s="125">
        <f t="shared" si="44"/>
        <v>304</v>
      </c>
      <c r="H137" s="125">
        <f t="shared" si="44"/>
        <v>270</v>
      </c>
      <c r="I137" s="125">
        <f t="shared" si="44"/>
        <v>245.71428571428572</v>
      </c>
      <c r="J137" s="125">
        <f t="shared" si="44"/>
        <v>227.50000000000003</v>
      </c>
      <c r="K137" s="125">
        <f t="shared" si="44"/>
        <v>213.33333333333337</v>
      </c>
      <c r="L137" s="125">
        <f t="shared" si="44"/>
        <v>202</v>
      </c>
      <c r="M137" s="125">
        <f t="shared" si="44"/>
        <v>192.72727272727275</v>
      </c>
      <c r="N137" s="125">
        <f t="shared" si="44"/>
        <v>185</v>
      </c>
    </row>
    <row r="138" spans="1:24" x14ac:dyDescent="0.2">
      <c r="B138" s="42">
        <f t="shared" si="45"/>
        <v>1.8000000000000005</v>
      </c>
      <c r="C138" s="125">
        <f t="shared" si="41"/>
        <v>1180.0000000000005</v>
      </c>
      <c r="D138" s="125">
        <f t="shared" si="44"/>
        <v>640.00000000000023</v>
      </c>
      <c r="E138" s="125">
        <f t="shared" si="44"/>
        <v>460.00000000000011</v>
      </c>
      <c r="F138" s="125">
        <f t="shared" si="44"/>
        <v>370.00000000000011</v>
      </c>
      <c r="G138" s="125">
        <f t="shared" si="44"/>
        <v>316.00000000000006</v>
      </c>
      <c r="H138" s="125">
        <f t="shared" si="44"/>
        <v>280.00000000000006</v>
      </c>
      <c r="I138" s="125">
        <f t="shared" si="44"/>
        <v>254.28571428571433</v>
      </c>
      <c r="J138" s="125">
        <f t="shared" si="44"/>
        <v>235.00000000000006</v>
      </c>
      <c r="K138" s="125">
        <f t="shared" si="44"/>
        <v>220.00000000000006</v>
      </c>
      <c r="L138" s="125">
        <f t="shared" si="44"/>
        <v>208.00000000000003</v>
      </c>
      <c r="M138" s="125">
        <f t="shared" si="44"/>
        <v>198.18181818181822</v>
      </c>
      <c r="N138" s="125">
        <f t="shared" si="44"/>
        <v>190.00000000000003</v>
      </c>
    </row>
    <row r="139" spans="1:24" x14ac:dyDescent="0.2">
      <c r="B139" s="42">
        <f t="shared" si="45"/>
        <v>1.9000000000000006</v>
      </c>
      <c r="C139" s="125">
        <f t="shared" si="41"/>
        <v>1240.0000000000005</v>
      </c>
      <c r="D139" s="125">
        <f t="shared" si="44"/>
        <v>670.00000000000023</v>
      </c>
      <c r="E139" s="125">
        <f t="shared" si="44"/>
        <v>480.00000000000011</v>
      </c>
      <c r="F139" s="125">
        <f t="shared" si="44"/>
        <v>385.00000000000011</v>
      </c>
      <c r="G139" s="125">
        <f t="shared" si="44"/>
        <v>328.00000000000006</v>
      </c>
      <c r="H139" s="125">
        <f t="shared" si="44"/>
        <v>290.00000000000006</v>
      </c>
      <c r="I139" s="125">
        <f t="shared" si="44"/>
        <v>262.85714285714289</v>
      </c>
      <c r="J139" s="125">
        <f t="shared" si="44"/>
        <v>242.50000000000006</v>
      </c>
      <c r="K139" s="125">
        <f t="shared" si="44"/>
        <v>226.66666666666669</v>
      </c>
      <c r="L139" s="125">
        <f t="shared" si="44"/>
        <v>214.00000000000003</v>
      </c>
      <c r="M139" s="125">
        <f t="shared" si="44"/>
        <v>203.63636363636368</v>
      </c>
      <c r="N139" s="125">
        <f t="shared" si="44"/>
        <v>195.00000000000003</v>
      </c>
    </row>
    <row r="140" spans="1:24" x14ac:dyDescent="0.2">
      <c r="A140">
        <v>14</v>
      </c>
      <c r="B140" s="166">
        <f t="shared" si="45"/>
        <v>2.0000000000000004</v>
      </c>
      <c r="C140" s="125">
        <f t="shared" si="41"/>
        <v>1300.0000000000005</v>
      </c>
      <c r="D140" s="125">
        <f t="shared" si="44"/>
        <v>700.00000000000023</v>
      </c>
      <c r="E140" s="125">
        <f t="shared" si="44"/>
        <v>500.00000000000011</v>
      </c>
      <c r="F140" s="125">
        <f t="shared" si="44"/>
        <v>400.00000000000011</v>
      </c>
      <c r="G140" s="125">
        <f t="shared" si="44"/>
        <v>340.00000000000006</v>
      </c>
      <c r="H140" s="125">
        <f t="shared" si="44"/>
        <v>300.00000000000006</v>
      </c>
      <c r="I140" s="125">
        <f t="shared" si="44"/>
        <v>271.42857142857144</v>
      </c>
      <c r="J140" s="125">
        <f t="shared" si="44"/>
        <v>250.00000000000006</v>
      </c>
      <c r="K140" s="125">
        <f t="shared" si="44"/>
        <v>233.33333333333337</v>
      </c>
      <c r="L140" s="125">
        <f t="shared" si="44"/>
        <v>220.00000000000003</v>
      </c>
      <c r="M140" s="125">
        <f t="shared" si="44"/>
        <v>209.09090909090912</v>
      </c>
      <c r="N140" s="125">
        <f t="shared" si="44"/>
        <v>200.00000000000003</v>
      </c>
    </row>
    <row r="141" spans="1:24" x14ac:dyDescent="0.2">
      <c r="B141" s="42">
        <f t="shared" si="45"/>
        <v>2.1000000000000005</v>
      </c>
      <c r="C141" s="125">
        <f t="shared" si="41"/>
        <v>1360.0000000000005</v>
      </c>
      <c r="D141" s="125">
        <f t="shared" si="44"/>
        <v>730.00000000000023</v>
      </c>
      <c r="E141" s="125">
        <f t="shared" si="44"/>
        <v>520.00000000000011</v>
      </c>
      <c r="F141" s="125">
        <f t="shared" si="44"/>
        <v>415.00000000000011</v>
      </c>
      <c r="G141" s="125">
        <f t="shared" si="44"/>
        <v>352.00000000000006</v>
      </c>
      <c r="H141" s="125">
        <f t="shared" si="44"/>
        <v>310.00000000000006</v>
      </c>
      <c r="I141" s="125">
        <f t="shared" si="44"/>
        <v>280</v>
      </c>
      <c r="J141" s="125">
        <f t="shared" si="44"/>
        <v>257.50000000000006</v>
      </c>
      <c r="K141" s="125">
        <f t="shared" si="44"/>
        <v>240.00000000000003</v>
      </c>
      <c r="L141" s="125">
        <f t="shared" si="44"/>
        <v>226.00000000000003</v>
      </c>
      <c r="M141" s="125">
        <f t="shared" si="44"/>
        <v>214.54545454545456</v>
      </c>
      <c r="N141" s="125">
        <f t="shared" si="44"/>
        <v>205.00000000000003</v>
      </c>
    </row>
    <row r="142" spans="1:24" x14ac:dyDescent="0.2">
      <c r="B142" s="42">
        <f t="shared" si="45"/>
        <v>2.2000000000000006</v>
      </c>
      <c r="C142" s="125">
        <f t="shared" si="41"/>
        <v>1420.0000000000005</v>
      </c>
      <c r="D142" s="125">
        <f t="shared" si="44"/>
        <v>760.00000000000023</v>
      </c>
      <c r="E142" s="125">
        <f t="shared" si="44"/>
        <v>540.00000000000011</v>
      </c>
      <c r="F142" s="125">
        <f t="shared" si="44"/>
        <v>430.00000000000011</v>
      </c>
      <c r="G142" s="125">
        <f t="shared" si="44"/>
        <v>364.00000000000006</v>
      </c>
      <c r="H142" s="125">
        <f t="shared" si="44"/>
        <v>320.00000000000006</v>
      </c>
      <c r="I142" s="125">
        <f t="shared" si="44"/>
        <v>288.57142857142861</v>
      </c>
      <c r="J142" s="125">
        <f t="shared" si="44"/>
        <v>265.00000000000006</v>
      </c>
      <c r="K142" s="125">
        <f t="shared" si="44"/>
        <v>246.66666666666671</v>
      </c>
      <c r="L142" s="125">
        <f t="shared" si="44"/>
        <v>232.00000000000003</v>
      </c>
      <c r="M142" s="125">
        <f t="shared" si="44"/>
        <v>220.00000000000006</v>
      </c>
      <c r="N142" s="125">
        <f t="shared" si="44"/>
        <v>210.00000000000003</v>
      </c>
    </row>
    <row r="143" spans="1:24" x14ac:dyDescent="0.2">
      <c r="B143" s="42">
        <f t="shared" si="45"/>
        <v>2.3000000000000007</v>
      </c>
      <c r="C143" s="125">
        <f t="shared" si="41"/>
        <v>1480.0000000000005</v>
      </c>
      <c r="D143" s="125">
        <f t="shared" si="44"/>
        <v>790.00000000000023</v>
      </c>
      <c r="E143" s="125">
        <f t="shared" si="44"/>
        <v>560.00000000000011</v>
      </c>
      <c r="F143" s="125">
        <f t="shared" si="44"/>
        <v>445.00000000000011</v>
      </c>
      <c r="G143" s="125">
        <f t="shared" si="44"/>
        <v>376.00000000000006</v>
      </c>
      <c r="H143" s="125">
        <f t="shared" si="44"/>
        <v>330.00000000000006</v>
      </c>
      <c r="I143" s="125">
        <f t="shared" si="44"/>
        <v>297.14285714285717</v>
      </c>
      <c r="J143" s="125">
        <f t="shared" si="44"/>
        <v>272.50000000000006</v>
      </c>
      <c r="K143" s="125">
        <f t="shared" si="44"/>
        <v>253.33333333333337</v>
      </c>
      <c r="L143" s="125">
        <f t="shared" si="44"/>
        <v>238.00000000000003</v>
      </c>
      <c r="M143" s="125">
        <f t="shared" si="44"/>
        <v>225.4545454545455</v>
      </c>
      <c r="N143" s="125">
        <f t="shared" si="44"/>
        <v>215.00000000000003</v>
      </c>
    </row>
    <row r="144" spans="1:24" x14ac:dyDescent="0.2">
      <c r="B144" s="42">
        <f t="shared" si="45"/>
        <v>2.4000000000000008</v>
      </c>
      <c r="C144" s="125">
        <f t="shared" si="41"/>
        <v>1540.0000000000007</v>
      </c>
      <c r="D144" s="125">
        <f t="shared" si="44"/>
        <v>820.00000000000034</v>
      </c>
      <c r="E144" s="125">
        <f t="shared" si="44"/>
        <v>580.00000000000023</v>
      </c>
      <c r="F144" s="125">
        <f t="shared" si="44"/>
        <v>460.00000000000017</v>
      </c>
      <c r="G144" s="125">
        <f t="shared" si="44"/>
        <v>388.00000000000011</v>
      </c>
      <c r="H144" s="125">
        <f t="shared" si="44"/>
        <v>340.00000000000011</v>
      </c>
      <c r="I144" s="125">
        <f t="shared" si="44"/>
        <v>305.71428571428578</v>
      </c>
      <c r="J144" s="125">
        <f t="shared" si="44"/>
        <v>280.00000000000011</v>
      </c>
      <c r="K144" s="125">
        <f t="shared" si="44"/>
        <v>260.00000000000006</v>
      </c>
      <c r="L144" s="125">
        <f t="shared" si="44"/>
        <v>244.00000000000006</v>
      </c>
      <c r="M144" s="125">
        <f t="shared" si="44"/>
        <v>230.90909090909096</v>
      </c>
      <c r="N144" s="125">
        <f t="shared" si="44"/>
        <v>220.00000000000006</v>
      </c>
    </row>
    <row r="145" spans="1:14" x14ac:dyDescent="0.2">
      <c r="A145">
        <v>15</v>
      </c>
      <c r="B145" s="167">
        <f t="shared" si="45"/>
        <v>2.5000000000000009</v>
      </c>
      <c r="C145" s="125">
        <f t="shared" si="41"/>
        <v>1600.0000000000007</v>
      </c>
      <c r="D145" s="125">
        <f t="shared" si="44"/>
        <v>850.00000000000034</v>
      </c>
      <c r="E145" s="125">
        <f t="shared" si="44"/>
        <v>600.00000000000023</v>
      </c>
      <c r="F145" s="125">
        <f t="shared" si="44"/>
        <v>475.00000000000017</v>
      </c>
      <c r="G145" s="125">
        <f t="shared" si="44"/>
        <v>400.00000000000011</v>
      </c>
      <c r="H145" s="125">
        <f t="shared" si="44"/>
        <v>350.00000000000011</v>
      </c>
      <c r="I145" s="125">
        <f t="shared" si="44"/>
        <v>314.28571428571433</v>
      </c>
      <c r="J145" s="125">
        <f t="shared" si="44"/>
        <v>287.50000000000011</v>
      </c>
      <c r="K145" s="125">
        <f t="shared" si="44"/>
        <v>266.66666666666674</v>
      </c>
      <c r="L145" s="125">
        <f t="shared" si="44"/>
        <v>250.00000000000006</v>
      </c>
      <c r="M145" s="125">
        <f t="shared" si="44"/>
        <v>236.3636363636364</v>
      </c>
      <c r="N145" s="125">
        <f t="shared" si="44"/>
        <v>225.00000000000006</v>
      </c>
    </row>
    <row r="146" spans="1:14" x14ac:dyDescent="0.2">
      <c r="B146" s="36">
        <f>B145+0.5</f>
        <v>3.0000000000000009</v>
      </c>
      <c r="C146" s="125">
        <f t="shared" si="41"/>
        <v>1900.0000000000007</v>
      </c>
      <c r="D146" s="125">
        <f t="shared" ref="D146:N150" si="46">($B$92*$B146/(D$93/60))+$B$92</f>
        <v>1000.0000000000003</v>
      </c>
      <c r="E146" s="125">
        <f t="shared" si="46"/>
        <v>700.00000000000023</v>
      </c>
      <c r="F146" s="125">
        <f t="shared" si="46"/>
        <v>550.00000000000023</v>
      </c>
      <c r="G146" s="125">
        <f t="shared" si="46"/>
        <v>460.00000000000011</v>
      </c>
      <c r="H146" s="125">
        <f t="shared" si="46"/>
        <v>400.00000000000011</v>
      </c>
      <c r="I146" s="125">
        <f t="shared" si="46"/>
        <v>357.14285714285722</v>
      </c>
      <c r="J146" s="125">
        <f t="shared" si="46"/>
        <v>325.00000000000011</v>
      </c>
      <c r="K146" s="125">
        <f t="shared" si="46"/>
        <v>300.00000000000011</v>
      </c>
      <c r="L146" s="125">
        <f t="shared" si="46"/>
        <v>280.00000000000006</v>
      </c>
      <c r="M146" s="125">
        <f t="shared" si="46"/>
        <v>263.63636363636374</v>
      </c>
      <c r="N146" s="125">
        <f t="shared" si="46"/>
        <v>250.00000000000006</v>
      </c>
    </row>
    <row r="147" spans="1:14" x14ac:dyDescent="0.2">
      <c r="B147" s="36">
        <f t="shared" ref="B147:B150" si="47">B146+0.5</f>
        <v>3.5000000000000009</v>
      </c>
      <c r="C147" s="125">
        <f t="shared" si="41"/>
        <v>2200.0000000000009</v>
      </c>
      <c r="D147" s="125">
        <f t="shared" si="46"/>
        <v>1150.0000000000005</v>
      </c>
      <c r="E147" s="125">
        <f t="shared" si="46"/>
        <v>800.00000000000023</v>
      </c>
      <c r="F147" s="125">
        <f t="shared" si="46"/>
        <v>625.00000000000023</v>
      </c>
      <c r="G147" s="125">
        <f t="shared" si="46"/>
        <v>520.00000000000011</v>
      </c>
      <c r="H147" s="125">
        <f t="shared" si="46"/>
        <v>450.00000000000011</v>
      </c>
      <c r="I147" s="125">
        <f t="shared" si="46"/>
        <v>400.00000000000006</v>
      </c>
      <c r="J147" s="125">
        <f t="shared" si="46"/>
        <v>362.50000000000011</v>
      </c>
      <c r="K147" s="125">
        <f t="shared" si="46"/>
        <v>333.33333333333337</v>
      </c>
      <c r="L147" s="125">
        <f t="shared" si="46"/>
        <v>310.00000000000006</v>
      </c>
      <c r="M147" s="125">
        <f t="shared" si="46"/>
        <v>290.90909090909099</v>
      </c>
      <c r="N147" s="125">
        <f t="shared" si="46"/>
        <v>275.00000000000006</v>
      </c>
    </row>
    <row r="148" spans="1:14" x14ac:dyDescent="0.2">
      <c r="A148">
        <v>16</v>
      </c>
      <c r="B148" s="36">
        <f t="shared" si="47"/>
        <v>4.0000000000000009</v>
      </c>
      <c r="C148" s="125">
        <f t="shared" si="41"/>
        <v>2500.0000000000009</v>
      </c>
      <c r="D148" s="125">
        <f t="shared" si="46"/>
        <v>1300.0000000000005</v>
      </c>
      <c r="E148" s="125">
        <f t="shared" si="46"/>
        <v>900.00000000000023</v>
      </c>
      <c r="F148" s="125">
        <f t="shared" si="46"/>
        <v>700.00000000000023</v>
      </c>
      <c r="G148" s="125">
        <f t="shared" si="46"/>
        <v>580.00000000000011</v>
      </c>
      <c r="H148" s="125">
        <f t="shared" si="46"/>
        <v>500.00000000000011</v>
      </c>
      <c r="I148" s="125">
        <f t="shared" si="46"/>
        <v>442.85714285714295</v>
      </c>
      <c r="J148" s="125">
        <f t="shared" si="46"/>
        <v>400.00000000000011</v>
      </c>
      <c r="K148" s="125">
        <f t="shared" si="46"/>
        <v>366.66666666666674</v>
      </c>
      <c r="L148" s="125">
        <f t="shared" si="46"/>
        <v>340.00000000000006</v>
      </c>
      <c r="M148" s="125">
        <f t="shared" si="46"/>
        <v>318.18181818181824</v>
      </c>
      <c r="N148" s="125">
        <f t="shared" si="46"/>
        <v>300.00000000000006</v>
      </c>
    </row>
    <row r="149" spans="1:14" x14ac:dyDescent="0.2">
      <c r="B149" s="36">
        <f t="shared" si="47"/>
        <v>4.5000000000000009</v>
      </c>
      <c r="C149" s="125">
        <f t="shared" si="41"/>
        <v>2800.0000000000009</v>
      </c>
      <c r="D149" s="125">
        <f t="shared" si="46"/>
        <v>1450.0000000000005</v>
      </c>
      <c r="E149" s="125">
        <f t="shared" si="46"/>
        <v>1000.0000000000002</v>
      </c>
      <c r="F149" s="125">
        <f t="shared" si="46"/>
        <v>775.00000000000023</v>
      </c>
      <c r="G149" s="125">
        <f t="shared" si="46"/>
        <v>640.00000000000011</v>
      </c>
      <c r="H149" s="125">
        <f t="shared" si="46"/>
        <v>550.00000000000011</v>
      </c>
      <c r="I149" s="125">
        <f t="shared" si="46"/>
        <v>485.71428571428578</v>
      </c>
      <c r="J149" s="125">
        <f t="shared" si="46"/>
        <v>437.50000000000011</v>
      </c>
      <c r="K149" s="125">
        <f t="shared" si="46"/>
        <v>400.00000000000006</v>
      </c>
      <c r="L149" s="125">
        <f t="shared" si="46"/>
        <v>370.00000000000006</v>
      </c>
      <c r="M149" s="125">
        <f t="shared" si="46"/>
        <v>345.4545454545455</v>
      </c>
      <c r="N149" s="125">
        <f t="shared" si="46"/>
        <v>325.00000000000006</v>
      </c>
    </row>
    <row r="150" spans="1:14" x14ac:dyDescent="0.2">
      <c r="B150" s="36">
        <f t="shared" si="47"/>
        <v>5.0000000000000009</v>
      </c>
      <c r="C150" s="125">
        <f t="shared" si="41"/>
        <v>3100.0000000000009</v>
      </c>
      <c r="D150" s="125">
        <f t="shared" si="46"/>
        <v>1600.0000000000005</v>
      </c>
      <c r="E150" s="125">
        <f t="shared" si="46"/>
        <v>1100.0000000000002</v>
      </c>
      <c r="F150" s="125">
        <f t="shared" si="46"/>
        <v>850.00000000000023</v>
      </c>
      <c r="G150" s="125">
        <f t="shared" si="46"/>
        <v>700.00000000000011</v>
      </c>
      <c r="H150" s="125">
        <f t="shared" si="46"/>
        <v>600.00000000000011</v>
      </c>
      <c r="I150" s="125">
        <f t="shared" si="46"/>
        <v>528.57142857142867</v>
      </c>
      <c r="J150" s="125">
        <f t="shared" si="46"/>
        <v>475.00000000000011</v>
      </c>
      <c r="K150" s="125">
        <f t="shared" si="46"/>
        <v>433.33333333333343</v>
      </c>
      <c r="L150" s="125">
        <f t="shared" si="46"/>
        <v>400.00000000000006</v>
      </c>
      <c r="M150" s="125">
        <f t="shared" si="46"/>
        <v>372.7272727272728</v>
      </c>
      <c r="N150" s="125">
        <f t="shared" si="46"/>
        <v>350.00000000000006</v>
      </c>
    </row>
    <row r="151" spans="1:14" ht="15" x14ac:dyDescent="0.25">
      <c r="D151" s="126" t="s">
        <v>11</v>
      </c>
      <c r="E151" s="139" t="s">
        <v>84</v>
      </c>
    </row>
    <row r="152" spans="1:14" ht="15" x14ac:dyDescent="0.25">
      <c r="A152" t="s">
        <v>83</v>
      </c>
      <c r="B152" s="118" t="s">
        <v>11</v>
      </c>
      <c r="D152" s="156">
        <v>4</v>
      </c>
      <c r="E152" s="140">
        <v>16</v>
      </c>
    </row>
    <row r="153" spans="1:14" ht="15" x14ac:dyDescent="0.25">
      <c r="A153">
        <v>1</v>
      </c>
      <c r="B153" s="36">
        <v>0</v>
      </c>
      <c r="D153" s="157">
        <v>2.5</v>
      </c>
      <c r="E153" s="140">
        <v>15</v>
      </c>
    </row>
    <row r="154" spans="1:14" ht="15" x14ac:dyDescent="0.25">
      <c r="A154">
        <v>2</v>
      </c>
      <c r="B154" s="36">
        <f>B97</f>
        <v>9.9929999999999991E-2</v>
      </c>
      <c r="D154" s="134">
        <v>2</v>
      </c>
      <c r="E154" s="140">
        <v>14</v>
      </c>
    </row>
    <row r="155" spans="1:14" ht="15" x14ac:dyDescent="0.25">
      <c r="A155">
        <v>3</v>
      </c>
      <c r="B155" s="36">
        <f>B100</f>
        <v>0.19982999999999998</v>
      </c>
      <c r="D155" s="158">
        <v>1.5</v>
      </c>
      <c r="E155" s="140">
        <v>13</v>
      </c>
    </row>
    <row r="156" spans="1:14" ht="15" x14ac:dyDescent="0.25">
      <c r="A156">
        <v>4</v>
      </c>
      <c r="B156" s="36">
        <f>B103</f>
        <v>0.29973</v>
      </c>
      <c r="D156" s="155">
        <f>B164</f>
        <v>0.99902999999999997</v>
      </c>
      <c r="E156" s="140">
        <v>12</v>
      </c>
    </row>
    <row r="157" spans="1:14" ht="15" x14ac:dyDescent="0.25">
      <c r="A157">
        <v>5</v>
      </c>
      <c r="B157" s="36">
        <f>B106</f>
        <v>0.39962999999999999</v>
      </c>
      <c r="D157" s="129">
        <f>B163</f>
        <v>0.89912999999999998</v>
      </c>
      <c r="E157" s="140">
        <f>E156-1</f>
        <v>11</v>
      </c>
    </row>
    <row r="158" spans="1:14" ht="15" x14ac:dyDescent="0.25">
      <c r="A158">
        <v>6</v>
      </c>
      <c r="B158" s="36">
        <f>B109</f>
        <v>0.49952999999999997</v>
      </c>
      <c r="D158" s="128">
        <f>B162</f>
        <v>0.79923</v>
      </c>
      <c r="E158" s="140">
        <f t="shared" ref="E158:E167" si="48">E157-1</f>
        <v>10</v>
      </c>
    </row>
    <row r="159" spans="1:14" ht="15" x14ac:dyDescent="0.25">
      <c r="A159">
        <v>7</v>
      </c>
      <c r="B159" s="28">
        <f>B110</f>
        <v>0.53283000000000003</v>
      </c>
      <c r="D159" s="130">
        <f>B161</f>
        <v>0.69933000000000001</v>
      </c>
      <c r="E159" s="140">
        <f t="shared" si="48"/>
        <v>9</v>
      </c>
    </row>
    <row r="160" spans="1:14" ht="15" x14ac:dyDescent="0.25">
      <c r="A160">
        <v>8</v>
      </c>
      <c r="B160" s="36">
        <f>B112</f>
        <v>0.59943000000000002</v>
      </c>
      <c r="D160" s="131">
        <f>B160</f>
        <v>0.59943000000000002</v>
      </c>
      <c r="E160" s="140">
        <f t="shared" si="48"/>
        <v>8</v>
      </c>
    </row>
    <row r="161" spans="1:5" ht="15" x14ac:dyDescent="0.25">
      <c r="A161">
        <v>9</v>
      </c>
      <c r="B161" s="36">
        <f>B115</f>
        <v>0.69933000000000001</v>
      </c>
      <c r="D161" s="132">
        <f>B159</f>
        <v>0.53283000000000003</v>
      </c>
      <c r="E161" s="140">
        <f t="shared" si="48"/>
        <v>7</v>
      </c>
    </row>
    <row r="162" spans="1:5" ht="15" x14ac:dyDescent="0.25">
      <c r="A162">
        <v>10</v>
      </c>
      <c r="B162" s="36">
        <f>B118</f>
        <v>0.79923</v>
      </c>
      <c r="D162" s="133">
        <f>B158</f>
        <v>0.49952999999999997</v>
      </c>
      <c r="E162" s="140">
        <f t="shared" si="48"/>
        <v>6</v>
      </c>
    </row>
    <row r="163" spans="1:5" ht="15" x14ac:dyDescent="0.25">
      <c r="A163">
        <v>11</v>
      </c>
      <c r="B163" s="36">
        <f>B121</f>
        <v>0.89912999999999998</v>
      </c>
      <c r="D163" s="127">
        <f>B157</f>
        <v>0.39962999999999999</v>
      </c>
      <c r="E163" s="140">
        <f t="shared" si="48"/>
        <v>5</v>
      </c>
    </row>
    <row r="164" spans="1:5" ht="15" x14ac:dyDescent="0.25">
      <c r="A164">
        <v>12</v>
      </c>
      <c r="B164" s="36">
        <f>B124</f>
        <v>0.99902999999999997</v>
      </c>
      <c r="D164" s="135">
        <f>B156</f>
        <v>0.29973</v>
      </c>
      <c r="E164" s="140">
        <f t="shared" si="48"/>
        <v>4</v>
      </c>
    </row>
    <row r="165" spans="1:5" ht="15" x14ac:dyDescent="0.25">
      <c r="D165" s="136">
        <f>B155</f>
        <v>0.19982999999999998</v>
      </c>
      <c r="E165" s="140">
        <f t="shared" si="48"/>
        <v>3</v>
      </c>
    </row>
    <row r="166" spans="1:5" ht="15" x14ac:dyDescent="0.25">
      <c r="D166" s="138">
        <f>B154</f>
        <v>9.9929999999999991E-2</v>
      </c>
      <c r="E166" s="140">
        <f t="shared" si="48"/>
        <v>2</v>
      </c>
    </row>
    <row r="167" spans="1:5" ht="15" x14ac:dyDescent="0.25">
      <c r="D167" s="137">
        <f>B153</f>
        <v>0</v>
      </c>
      <c r="E167" s="140">
        <f t="shared" si="48"/>
        <v>1</v>
      </c>
    </row>
  </sheetData>
  <pageMargins left="0" right="0" top="0.39409448818897641" bottom="0.39409448818897641" header="0" footer="0"/>
  <pageSetup paperSize="9" orientation="portrait" r:id="rId1"/>
  <headerFooter>
    <oddHeader>&amp;C&amp;A</oddHeader>
    <oddFooter>&amp;CPage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80"/>
  <sheetViews>
    <sheetView topLeftCell="D40" workbookViewId="0">
      <selection activeCell="O1" sqref="O1"/>
    </sheetView>
  </sheetViews>
  <sheetFormatPr baseColWidth="10" defaultRowHeight="14.25" x14ac:dyDescent="0.2"/>
  <cols>
    <col min="1" max="1" width="19.75" customWidth="1"/>
    <col min="9" max="9" width="18.875" customWidth="1"/>
    <col min="12" max="12" width="12.375" customWidth="1"/>
  </cols>
  <sheetData>
    <row r="1" spans="1:27" ht="15.75" x14ac:dyDescent="0.25">
      <c r="A1" s="201" t="s">
        <v>211</v>
      </c>
      <c r="B1" s="215">
        <v>18</v>
      </c>
      <c r="C1" s="174" t="s">
        <v>213</v>
      </c>
      <c r="D1" s="175" t="s">
        <v>212</v>
      </c>
      <c r="E1" s="87"/>
      <c r="F1" s="87"/>
      <c r="G1" s="87"/>
      <c r="H1" s="206"/>
      <c r="I1" s="173" t="s">
        <v>290</v>
      </c>
      <c r="J1" s="180" t="s">
        <v>215</v>
      </c>
      <c r="K1" s="180" t="s">
        <v>216</v>
      </c>
      <c r="L1" s="210" t="s">
        <v>252</v>
      </c>
      <c r="M1" s="210"/>
      <c r="N1" s="239"/>
      <c r="O1" s="240" t="s">
        <v>291</v>
      </c>
      <c r="P1" s="241"/>
      <c r="Q1" s="241"/>
      <c r="R1" s="241"/>
      <c r="S1" s="242"/>
      <c r="T1" s="242"/>
      <c r="U1" s="171"/>
      <c r="W1" s="170"/>
      <c r="X1" s="175" t="s">
        <v>214</v>
      </c>
      <c r="Y1" s="87"/>
      <c r="Z1" s="87"/>
      <c r="AA1" t="s">
        <v>98</v>
      </c>
    </row>
    <row r="2" spans="1:27" ht="15.75" x14ac:dyDescent="0.25">
      <c r="A2" s="176" t="s">
        <v>234</v>
      </c>
      <c r="B2" s="216">
        <f>3.2*18</f>
        <v>57.6</v>
      </c>
      <c r="C2" s="176"/>
      <c r="D2" s="177" t="s">
        <v>288</v>
      </c>
      <c r="E2" s="176"/>
      <c r="F2" s="176"/>
      <c r="G2" s="176"/>
      <c r="H2" s="164"/>
      <c r="I2" s="172" t="s">
        <v>209</v>
      </c>
      <c r="J2" s="212">
        <v>34</v>
      </c>
      <c r="K2" s="212">
        <v>34</v>
      </c>
      <c r="L2" s="209" t="s">
        <v>289</v>
      </c>
      <c r="M2" s="208"/>
      <c r="N2" s="180"/>
      <c r="O2" s="237" t="s">
        <v>210</v>
      </c>
      <c r="P2" s="238"/>
      <c r="Q2" s="238"/>
      <c r="R2" s="238"/>
      <c r="S2" s="171"/>
      <c r="T2" s="171"/>
      <c r="U2" s="171"/>
      <c r="W2" s="170"/>
      <c r="X2" t="s">
        <v>85</v>
      </c>
    </row>
    <row r="3" spans="1:27" ht="15.75" x14ac:dyDescent="0.25">
      <c r="A3" s="200" t="s">
        <v>244</v>
      </c>
      <c r="B3" s="216">
        <v>100</v>
      </c>
      <c r="C3" s="183" t="s">
        <v>233</v>
      </c>
      <c r="H3" s="164"/>
      <c r="I3" s="172" t="s">
        <v>208</v>
      </c>
      <c r="J3" s="212">
        <v>34</v>
      </c>
      <c r="K3" s="212">
        <v>34</v>
      </c>
      <c r="L3" s="211" t="s">
        <v>246</v>
      </c>
      <c r="M3" s="214">
        <v>0.8</v>
      </c>
      <c r="N3" s="180"/>
      <c r="O3" s="233">
        <f>-18/18*$B$1</f>
        <v>-18</v>
      </c>
      <c r="P3" s="234">
        <v>-0.5</v>
      </c>
      <c r="Q3" s="235">
        <f>P3*$B$5</f>
        <v>-0.1</v>
      </c>
      <c r="R3" s="236">
        <f>P3*$E$5</f>
        <v>-0.2</v>
      </c>
      <c r="U3" s="171"/>
      <c r="W3" s="170"/>
    </row>
    <row r="4" spans="1:27" ht="15.75" x14ac:dyDescent="0.25">
      <c r="A4" s="176" t="s">
        <v>235</v>
      </c>
      <c r="B4" s="90">
        <v>1</v>
      </c>
      <c r="H4" s="164"/>
      <c r="I4" s="172" t="s">
        <v>207</v>
      </c>
      <c r="J4" s="212">
        <v>34</v>
      </c>
      <c r="K4" s="212">
        <v>34</v>
      </c>
      <c r="L4" s="211" t="s">
        <v>247</v>
      </c>
      <c r="M4" s="214">
        <v>1.2</v>
      </c>
      <c r="N4" s="180"/>
      <c r="O4" s="192">
        <f>50/18*$B$1</f>
        <v>50</v>
      </c>
      <c r="P4" s="193">
        <v>-0.5</v>
      </c>
      <c r="Q4" s="194">
        <f>P4*$B$5</f>
        <v>-0.1</v>
      </c>
      <c r="R4" s="195">
        <f>P4*$E$5</f>
        <v>-0.2</v>
      </c>
      <c r="U4" s="171"/>
      <c r="W4" s="170"/>
      <c r="X4" s="29" t="s">
        <v>223</v>
      </c>
    </row>
    <row r="5" spans="1:27" ht="15.75" x14ac:dyDescent="0.25">
      <c r="A5" s="44" t="s">
        <v>206</v>
      </c>
      <c r="B5" s="216">
        <v>0.2</v>
      </c>
      <c r="E5" s="216">
        <v>0.4</v>
      </c>
      <c r="H5" s="164"/>
      <c r="I5" s="172" t="s">
        <v>205</v>
      </c>
      <c r="J5" s="212">
        <v>45</v>
      </c>
      <c r="K5" s="212">
        <v>45</v>
      </c>
      <c r="L5" s="211" t="s">
        <v>248</v>
      </c>
      <c r="M5" s="214">
        <v>0.5</v>
      </c>
      <c r="N5" s="180"/>
      <c r="O5" s="192">
        <f>60/18*$B$1</f>
        <v>60</v>
      </c>
      <c r="P5" s="193">
        <v>-0.5</v>
      </c>
      <c r="Q5" s="194">
        <f>P5*$B$5</f>
        <v>-0.1</v>
      </c>
      <c r="R5" s="195">
        <f>P5*$E$5</f>
        <v>-0.2</v>
      </c>
      <c r="U5" s="171"/>
      <c r="W5" s="170"/>
      <c r="X5" t="s">
        <v>224</v>
      </c>
    </row>
    <row r="6" spans="1:27" ht="15.75" x14ac:dyDescent="0.25">
      <c r="A6" s="44" t="s">
        <v>204</v>
      </c>
      <c r="B6" s="216">
        <v>0.2</v>
      </c>
      <c r="E6" s="216">
        <v>0.6</v>
      </c>
      <c r="H6" s="164"/>
      <c r="I6" s="172" t="s">
        <v>203</v>
      </c>
      <c r="J6" s="213">
        <v>0.8</v>
      </c>
      <c r="K6" s="213">
        <v>1</v>
      </c>
      <c r="L6" s="211" t="s">
        <v>249</v>
      </c>
      <c r="M6" s="214">
        <v>10</v>
      </c>
      <c r="N6" s="180"/>
      <c r="O6" s="192">
        <f>80/18*$B$1</f>
        <v>80</v>
      </c>
      <c r="P6" s="193">
        <v>-0.3</v>
      </c>
      <c r="Q6" s="194">
        <f>P6*$B$5</f>
        <v>-0.06</v>
      </c>
      <c r="R6" s="195">
        <f>P6*$E$5</f>
        <v>-0.12</v>
      </c>
      <c r="U6" s="171"/>
      <c r="W6" s="170"/>
      <c r="X6" t="s">
        <v>217</v>
      </c>
    </row>
    <row r="7" spans="1:27" ht="16.5" thickBot="1" x14ac:dyDescent="0.3">
      <c r="A7" s="232" t="s">
        <v>202</v>
      </c>
      <c r="B7" s="185" t="s">
        <v>201</v>
      </c>
      <c r="C7" s="230" t="s">
        <v>2</v>
      </c>
      <c r="D7" s="186" t="s">
        <v>3</v>
      </c>
      <c r="E7" s="184" t="s">
        <v>200</v>
      </c>
      <c r="F7" s="231" t="s">
        <v>5</v>
      </c>
      <c r="G7" s="184" t="s">
        <v>6</v>
      </c>
      <c r="H7" s="187" t="s">
        <v>7</v>
      </c>
      <c r="I7" s="229" t="s">
        <v>199</v>
      </c>
      <c r="J7" s="226" t="s">
        <v>198</v>
      </c>
      <c r="L7" s="227" t="s">
        <v>250</v>
      </c>
      <c r="M7" s="228" t="s">
        <v>251</v>
      </c>
      <c r="O7" s="192">
        <f>90/18*$B$1</f>
        <v>90</v>
      </c>
      <c r="P7" s="193">
        <v>-0.2</v>
      </c>
      <c r="Q7" s="194">
        <f>P7*$B$5</f>
        <v>-4.0000000000000008E-2</v>
      </c>
      <c r="R7" s="195">
        <f>P7*$E$5</f>
        <v>-8.0000000000000016E-2</v>
      </c>
      <c r="U7" s="171"/>
      <c r="W7" s="170"/>
      <c r="X7" t="s">
        <v>218</v>
      </c>
    </row>
    <row r="8" spans="1:27" ht="15.75" x14ac:dyDescent="0.25">
      <c r="A8" s="36">
        <f>2.8*$B$1</f>
        <v>50.4</v>
      </c>
      <c r="B8" s="188">
        <f t="array" ref="B8">1+INDEX($O$3:$R$13,MATCH(($A8+(100-$B$3*18/$B$1-10)/18*$B$1),$O$3:$O$13,1),3)+(($A8+(100-$B$3*18/$B$1-10)/18*$B$1)-INDEX($O$3:$R$13,MATCH(($A8+(100-$B$3*18/$B$1-10)/18*$B$1),$O$3:$O$13,1),1))*((INDEX($O$3:$R$13,MATCH(($A8+(100-$B$3*18/$B$1-10)/18*$B$1),$O$3:$O$13,1)+1,3)-INDEX($O$3:$R$13,MATCH(($A8+(100-$B$3*18/$B$1-10)/18*$B$1),$O$3:$O$13,1),3))/(INDEX($O$3:$R$13,MATCH(($A8+(100-$B$3*18/$B$1-10)/18*$B$1),$O$3:$O$13,1)+1,1)-INDEX($O$3:$R$13,MATCH(($A8+(100-$B$3*18/$B$1-10)/18*$B$1),$O$3:$O$13,1),1)))</f>
        <v>0.9</v>
      </c>
      <c r="C8" s="189">
        <f t="shared" ref="C8:C39" si="0">$B$2/B8</f>
        <v>64</v>
      </c>
      <c r="D8" s="190">
        <f t="shared" ref="D8:D39" si="1">$B$2*$B$4/C8</f>
        <v>0.9</v>
      </c>
      <c r="E8" s="189">
        <f t="array" ref="E8">1+INDEX($O$3:$R$13,MATCH(($A8+(100-$B$3*18/$B$1-10)/18*$B$1),$O$3:$O$13,1),4)+(($A8+(100-$B$3*18/$B$1-10)/18*$B$1)-INDEX($O$3:$R$13,MATCH(($A8+(100-$B$3*18/$B$1-10)/18*$B$1),$O$3:$O$13,1),1))*((INDEX($O$3:$R$13,MATCH(($A8+(100-$B$3*18/$B$1-10)/18*$B$1),$O$3:$O$13,1)+1,4)-INDEX($O$3:$R$13,MATCH(($A8+(100-$B$3*18/$B$1-10)/18*$B$1),$O$3:$O$13,1),4))/(INDEX($O$3:$R$13,MATCH(($A8+(100-$B$3*18/$B$1-10)/18*$B$1),$O$3:$O$13,1)+1,1)-INDEX($O$3:$R$13,MATCH(($A8+(100-$B$3*18/$B$1-10)/18*$B$1),$O$3:$O$13,1),1)))</f>
        <v>0.8</v>
      </c>
      <c r="F8" s="189">
        <f t="shared" ref="F8:F39" si="2">$B$2/E8</f>
        <v>72</v>
      </c>
      <c r="G8" s="189">
        <f t="shared" ref="G8:G39" si="3">$B$2*$B$4/F8</f>
        <v>0.8</v>
      </c>
      <c r="H8" s="191">
        <f t="shared" ref="H8:H39" si="4">G8/D8-1</f>
        <v>-0.11111111111111105</v>
      </c>
      <c r="I8" s="189">
        <f t="shared" ref="I8:I39" si="5">1800/(($J$2+$J$3 +$J$4)/3*$J$6*LN($A8*18/$B$1/(120-$J$5)+1))/18*$B$1</f>
        <v>128.74285889481422</v>
      </c>
      <c r="J8" s="189">
        <f t="shared" ref="J8:J39" si="6">1800/(($K$2+$K$3 +$K$4)/3*$K$6*LN($A8*18/$B$1/(120-$K$5)+1))/18*$B$1</f>
        <v>102.99428711585138</v>
      </c>
      <c r="L8" s="224">
        <v>0.85783110018635089</v>
      </c>
      <c r="M8" s="225">
        <v>67.146085036421823</v>
      </c>
      <c r="O8" s="192">
        <f>100/18*$B$1</f>
        <v>100</v>
      </c>
      <c r="P8" s="193">
        <v>0</v>
      </c>
      <c r="Q8" s="194">
        <f>P8</f>
        <v>0</v>
      </c>
      <c r="R8" s="195">
        <f>P8</f>
        <v>0</v>
      </c>
      <c r="U8" s="171"/>
      <c r="W8" s="170"/>
      <c r="X8" t="s">
        <v>226</v>
      </c>
    </row>
    <row r="9" spans="1:27" ht="15.75" x14ac:dyDescent="0.25">
      <c r="A9" s="36">
        <f t="shared" ref="A9:A40" si="7">A8+0.2*$B$1</f>
        <v>54</v>
      </c>
      <c r="B9" s="188">
        <f t="array" ref="B9">1+INDEX($O$3:$R$13,MATCH(($A9+(100-$B$3*18/$B$1-10)/18*$B$1),$O$3:$O$13,1),3)+(($A9+(100-$B$3*18/$B$1-10)/18*$B$1)-INDEX($O$3:$R$13,MATCH(($A9+(100-$B$3*18/$B$1-10)/18*$B$1),$O$3:$O$13,1),1))*((INDEX($O$3:$R$13,MATCH(($A9+(100-$B$3*18/$B$1-10)/18*$B$1),$O$3:$O$13,1)+1,3)-INDEX($O$3:$R$13,MATCH(($A9+(100-$B$3*18/$B$1-10)/18*$B$1),$O$3:$O$13,1),3))/(INDEX($O$3:$R$13,MATCH(($A9+(100-$B$3*18/$B$1-10)/18*$B$1),$O$3:$O$13,1)+1,1)-INDEX($O$3:$R$13,MATCH(($A9+(100-$B$3*18/$B$1-10)/18*$B$1),$O$3:$O$13,1),1)))</f>
        <v>0.9</v>
      </c>
      <c r="C9" s="189">
        <f t="shared" si="0"/>
        <v>64</v>
      </c>
      <c r="D9" s="190">
        <f t="shared" si="1"/>
        <v>0.9</v>
      </c>
      <c r="E9" s="189">
        <f t="array" ref="E9">1+INDEX($O$3:$R$13,MATCH(($A9+(100-$B$3*18/$B$1-10)/18*$B$1),$O$3:$O$13,1),4)+(($A9+(100-$B$3*18/$B$1-10)/18*$B$1)-INDEX($O$3:$R$13,MATCH(($A9+(100-$B$3*18/$B$1-10)/18*$B$1),$O$3:$O$13,1),1))*((INDEX($O$3:$R$13,MATCH(($A9+(100-$B$3*18/$B$1-10)/18*$B$1),$O$3:$O$13,1)+1,4)-INDEX($O$3:$R$13,MATCH(($A9+(100-$B$3*18/$B$1-10)/18*$B$1),$O$3:$O$13,1),4))/(INDEX($O$3:$R$13,MATCH(($A9+(100-$B$3*18/$B$1-10)/18*$B$1),$O$3:$O$13,1)+1,1)-INDEX($O$3:$R$13,MATCH(($A9+(100-$B$3*18/$B$1-10)/18*$B$1),$O$3:$O$13,1),1)))</f>
        <v>0.8</v>
      </c>
      <c r="F9" s="189">
        <f t="shared" si="2"/>
        <v>72</v>
      </c>
      <c r="G9" s="189">
        <f t="shared" si="3"/>
        <v>0.8</v>
      </c>
      <c r="H9" s="191">
        <f t="shared" si="4"/>
        <v>-0.11111111111111105</v>
      </c>
      <c r="I9" s="189">
        <f t="shared" si="5"/>
        <v>122.02379961170745</v>
      </c>
      <c r="J9" s="189">
        <f t="shared" si="6"/>
        <v>97.619039689365977</v>
      </c>
      <c r="L9" s="224">
        <v>0.8629559808053866</v>
      </c>
      <c r="M9" s="225">
        <v>66.74732116259581</v>
      </c>
      <c r="O9" s="192">
        <f>110/18*$B$1</f>
        <v>110</v>
      </c>
      <c r="P9" s="193">
        <v>0</v>
      </c>
      <c r="Q9" s="194">
        <f>P9*$B$6</f>
        <v>0</v>
      </c>
      <c r="R9" s="195">
        <f>P9*$E$6</f>
        <v>0</v>
      </c>
      <c r="U9" s="171"/>
      <c r="W9" s="170"/>
      <c r="X9" t="s">
        <v>219</v>
      </c>
    </row>
    <row r="10" spans="1:27" ht="15.75" x14ac:dyDescent="0.25">
      <c r="A10" s="36">
        <f t="shared" si="7"/>
        <v>57.6</v>
      </c>
      <c r="B10" s="188">
        <f t="array" ref="B10">1+INDEX($O$3:$R$13,MATCH(($A10+(100-$B$3*18/$B$1-10)/18*$B$1),$O$3:$O$13,1),3)+(($A10+(100-$B$3*18/$B$1-10)/18*$B$1)-INDEX($O$3:$R$13,MATCH(($A10+(100-$B$3*18/$B$1-10)/18*$B$1),$O$3:$O$13,1),1))*((INDEX($O$3:$R$13,MATCH(($A10+(100-$B$3*18/$B$1-10)/18*$B$1),$O$3:$O$13,1)+1,3)-INDEX($O$3:$R$13,MATCH(($A10+(100-$B$3*18/$B$1-10)/18*$B$1),$O$3:$O$13,1),3))/(INDEX($O$3:$R$13,MATCH(($A10+(100-$B$3*18/$B$1-10)/18*$B$1),$O$3:$O$13,1)+1,1)-INDEX($O$3:$R$13,MATCH(($A10+(100-$B$3*18/$B$1-10)/18*$B$1),$O$3:$O$13,1),1)))</f>
        <v>0.9</v>
      </c>
      <c r="C10" s="189">
        <f t="shared" si="0"/>
        <v>64</v>
      </c>
      <c r="D10" s="190">
        <f t="shared" si="1"/>
        <v>0.9</v>
      </c>
      <c r="E10" s="189">
        <f t="array" ref="E10">1+INDEX($O$3:$R$13,MATCH(($A10+(100-$B$3*18/$B$1-10)/18*$B$1),$O$3:$O$13,1),4)+(($A10+(100-$B$3*18/$B$1-10)/18*$B$1)-INDEX($O$3:$R$13,MATCH(($A10+(100-$B$3*18/$B$1-10)/18*$B$1),$O$3:$O$13,1),1))*((INDEX($O$3:$R$13,MATCH(($A10+(100-$B$3*18/$B$1-10)/18*$B$1),$O$3:$O$13,1)+1,4)-INDEX($O$3:$R$13,MATCH(($A10+(100-$B$3*18/$B$1-10)/18*$B$1),$O$3:$O$13,1),4))/(INDEX($O$3:$R$13,MATCH(($A10+(100-$B$3*18/$B$1-10)/18*$B$1),$O$3:$O$13,1)+1,1)-INDEX($O$3:$R$13,MATCH(($A10+(100-$B$3*18/$B$1-10)/18*$B$1),$O$3:$O$13,1),1)))</f>
        <v>0.8</v>
      </c>
      <c r="F10" s="189">
        <f t="shared" si="2"/>
        <v>72</v>
      </c>
      <c r="G10" s="189">
        <f t="shared" si="3"/>
        <v>0.8</v>
      </c>
      <c r="H10" s="191">
        <f t="shared" si="4"/>
        <v>-0.11111111111111105</v>
      </c>
      <c r="I10" s="189">
        <f t="shared" si="5"/>
        <v>116.12984271954372</v>
      </c>
      <c r="J10" s="189">
        <f t="shared" si="6"/>
        <v>92.903874175634982</v>
      </c>
      <c r="L10" s="224">
        <v>0.86844417326259882</v>
      </c>
      <c r="M10" s="225">
        <v>66.325506893098819</v>
      </c>
      <c r="O10" s="192">
        <f>150/18*$B$1</f>
        <v>150</v>
      </c>
      <c r="P10" s="193">
        <v>0.5</v>
      </c>
      <c r="Q10" s="194">
        <f>P10*$B$6</f>
        <v>0.1</v>
      </c>
      <c r="R10" s="195">
        <f>P10*$E$6</f>
        <v>0.3</v>
      </c>
      <c r="U10" s="171"/>
      <c r="W10" s="170"/>
      <c r="X10" t="s">
        <v>220</v>
      </c>
    </row>
    <row r="11" spans="1:27" ht="15.75" x14ac:dyDescent="0.25">
      <c r="A11" s="36">
        <f t="shared" si="7"/>
        <v>61.2</v>
      </c>
      <c r="B11" s="188">
        <f t="array" ref="B11">1+INDEX($O$3:$R$13,MATCH(($A11+(100-$B$3*18/$B$1-10)/18*$B$1),$O$3:$O$13,1),3)+(($A11+(100-$B$3*18/$B$1-10)/18*$B$1)-INDEX($O$3:$R$13,MATCH(($A11+(100-$B$3*18/$B$1-10)/18*$B$1),$O$3:$O$13,1),1))*((INDEX($O$3:$R$13,MATCH(($A11+(100-$B$3*18/$B$1-10)/18*$B$1),$O$3:$O$13,1)+1,3)-INDEX($O$3:$R$13,MATCH(($A11+(100-$B$3*18/$B$1-10)/18*$B$1),$O$3:$O$13,1),3))/(INDEX($O$3:$R$13,MATCH(($A11+(100-$B$3*18/$B$1-10)/18*$B$1),$O$3:$O$13,1)+1,1)-INDEX($O$3:$R$13,MATCH(($A11+(100-$B$3*18/$B$1-10)/18*$B$1),$O$3:$O$13,1),1)))</f>
        <v>0.9</v>
      </c>
      <c r="C11" s="189">
        <f t="shared" si="0"/>
        <v>64</v>
      </c>
      <c r="D11" s="190">
        <f t="shared" si="1"/>
        <v>0.9</v>
      </c>
      <c r="E11" s="189">
        <f t="array" ref="E11">1+INDEX($O$3:$R$13,MATCH(($A11+(100-$B$3*18/$B$1-10)/18*$B$1),$O$3:$O$13,1),4)+(($A11+(100-$B$3*18/$B$1-10)/18*$B$1)-INDEX($O$3:$R$13,MATCH(($A11+(100-$B$3*18/$B$1-10)/18*$B$1),$O$3:$O$13,1),1))*((INDEX($O$3:$R$13,MATCH(($A11+(100-$B$3*18/$B$1-10)/18*$B$1),$O$3:$O$13,1)+1,4)-INDEX($O$3:$R$13,MATCH(($A11+(100-$B$3*18/$B$1-10)/18*$B$1),$O$3:$O$13,1),4))/(INDEX($O$3:$R$13,MATCH(($A11+(100-$B$3*18/$B$1-10)/18*$B$1),$O$3:$O$13,1)+1,1)-INDEX($O$3:$R$13,MATCH(($A11+(100-$B$3*18/$B$1-10)/18*$B$1),$O$3:$O$13,1),1)))</f>
        <v>0.8</v>
      </c>
      <c r="F11" s="189">
        <f t="shared" si="2"/>
        <v>72</v>
      </c>
      <c r="G11" s="189">
        <f t="shared" si="3"/>
        <v>0.8</v>
      </c>
      <c r="H11" s="191">
        <f t="shared" si="4"/>
        <v>-0.11111111111111105</v>
      </c>
      <c r="I11" s="189">
        <f t="shared" si="5"/>
        <v>110.91593452609025</v>
      </c>
      <c r="J11" s="189">
        <f t="shared" si="6"/>
        <v>88.732747620872232</v>
      </c>
      <c r="L11" s="224">
        <v>0.8743053229976232</v>
      </c>
      <c r="M11" s="225">
        <v>65.880875347428926</v>
      </c>
      <c r="O11" s="192">
        <f>180/18*$B$1</f>
        <v>180</v>
      </c>
      <c r="P11" s="193">
        <v>0.7</v>
      </c>
      <c r="Q11" s="194">
        <f>P11*$B$6</f>
        <v>0.13999999999999999</v>
      </c>
      <c r="R11" s="195">
        <f>P11*$E$6</f>
        <v>0.42</v>
      </c>
      <c r="U11" s="171"/>
      <c r="W11" s="170"/>
      <c r="X11" s="170" t="s">
        <v>221</v>
      </c>
      <c r="Y11" s="170"/>
      <c r="Z11" s="170"/>
    </row>
    <row r="12" spans="1:27" ht="15.75" x14ac:dyDescent="0.25">
      <c r="A12" s="36">
        <f t="shared" si="7"/>
        <v>64.8</v>
      </c>
      <c r="B12" s="188">
        <f t="array" ref="B12">1+INDEX($O$3:$R$13,MATCH(($A12+(100-$B$3*18/$B$1-10)/18*$B$1),$O$3:$O$13,1),3)+(($A12+(100-$B$3*18/$B$1-10)/18*$B$1)-INDEX($O$3:$R$13,MATCH(($A12+(100-$B$3*18/$B$1-10)/18*$B$1),$O$3:$O$13,1),1))*((INDEX($O$3:$R$13,MATCH(($A12+(100-$B$3*18/$B$1-10)/18*$B$1),$O$3:$O$13,1)+1,3)-INDEX($O$3:$R$13,MATCH(($A12+(100-$B$3*18/$B$1-10)/18*$B$1),$O$3:$O$13,1),3))/(INDEX($O$3:$R$13,MATCH(($A12+(100-$B$3*18/$B$1-10)/18*$B$1),$O$3:$O$13,1)+1,1)-INDEX($O$3:$R$13,MATCH(($A12+(100-$B$3*18/$B$1-10)/18*$B$1),$O$3:$O$13,1),1)))</f>
        <v>0.9</v>
      </c>
      <c r="C12" s="189">
        <f t="shared" si="0"/>
        <v>64</v>
      </c>
      <c r="D12" s="190">
        <f t="shared" si="1"/>
        <v>0.9</v>
      </c>
      <c r="E12" s="189">
        <f t="array" ref="E12">1+INDEX($O$3:$R$13,MATCH(($A12+(100-$B$3*18/$B$1-10)/18*$B$1),$O$3:$O$13,1),4)+(($A12+(100-$B$3*18/$B$1-10)/18*$B$1)-INDEX($O$3:$R$13,MATCH(($A12+(100-$B$3*18/$B$1-10)/18*$B$1),$O$3:$O$13,1),1))*((INDEX($O$3:$R$13,MATCH(($A12+(100-$B$3*18/$B$1-10)/18*$B$1),$O$3:$O$13,1)+1,4)-INDEX($O$3:$R$13,MATCH(($A12+(100-$B$3*18/$B$1-10)/18*$B$1),$O$3:$O$13,1),4))/(INDEX($O$3:$R$13,MATCH(($A12+(100-$B$3*18/$B$1-10)/18*$B$1),$O$3:$O$13,1)+1,1)-INDEX($O$3:$R$13,MATCH(($A12+(100-$B$3*18/$B$1-10)/18*$B$1),$O$3:$O$13,1),1)))</f>
        <v>0.8</v>
      </c>
      <c r="F12" s="189">
        <f t="shared" si="2"/>
        <v>72</v>
      </c>
      <c r="G12" s="189">
        <f t="shared" si="3"/>
        <v>0.8</v>
      </c>
      <c r="H12" s="191">
        <f t="shared" si="4"/>
        <v>-0.11111111111111105</v>
      </c>
      <c r="I12" s="189">
        <f t="shared" si="5"/>
        <v>106.26922115011097</v>
      </c>
      <c r="J12" s="189">
        <f t="shared" si="6"/>
        <v>85.015376920088784</v>
      </c>
      <c r="L12" s="224">
        <v>0.8805464542077801</v>
      </c>
      <c r="M12" s="225">
        <v>65.413925324158186</v>
      </c>
      <c r="O12" s="192">
        <f>200/18*$B$1</f>
        <v>200</v>
      </c>
      <c r="P12" s="193">
        <v>0.7</v>
      </c>
      <c r="Q12" s="194">
        <f>P12*$B$6</f>
        <v>0.13999999999999999</v>
      </c>
      <c r="R12" s="195">
        <f>P12*$E$6</f>
        <v>0.42</v>
      </c>
      <c r="U12" s="171"/>
      <c r="W12" s="170"/>
      <c r="X12" s="170" t="s">
        <v>222</v>
      </c>
      <c r="Y12" s="170"/>
      <c r="Z12" s="170"/>
    </row>
    <row r="13" spans="1:27" ht="15.75" x14ac:dyDescent="0.25">
      <c r="A13" s="36">
        <f t="shared" si="7"/>
        <v>68.399999999999991</v>
      </c>
      <c r="B13" s="188">
        <f t="array" ref="B13">1+INDEX($O$3:$R$13,MATCH(($A13+(100-$B$3*18/$B$1-10)/18*$B$1),$O$3:$O$13,1),3)+(($A13+(100-$B$3*18/$B$1-10)/18*$B$1)-INDEX($O$3:$R$13,MATCH(($A13+(100-$B$3*18/$B$1-10)/18*$B$1),$O$3:$O$13,1),1))*((INDEX($O$3:$R$13,MATCH(($A13+(100-$B$3*18/$B$1-10)/18*$B$1),$O$3:$O$13,1)+1,3)-INDEX($O$3:$R$13,MATCH(($A13+(100-$B$3*18/$B$1-10)/18*$B$1),$O$3:$O$13,1),3))/(INDEX($O$3:$R$13,MATCH(($A13+(100-$B$3*18/$B$1-10)/18*$B$1),$O$3:$O$13,1)+1,1)-INDEX($O$3:$R$13,MATCH(($A13+(100-$B$3*18/$B$1-10)/18*$B$1),$O$3:$O$13,1),1)))</f>
        <v>0.9</v>
      </c>
      <c r="C13" s="189">
        <f t="shared" si="0"/>
        <v>64</v>
      </c>
      <c r="D13" s="190">
        <f t="shared" si="1"/>
        <v>0.9</v>
      </c>
      <c r="E13" s="189">
        <f t="array" ref="E13">1+INDEX($O$3:$R$13,MATCH(($A13+(100-$B$3*18/$B$1-10)/18*$B$1),$O$3:$O$13,1),4)+(($A13+(100-$B$3*18/$B$1-10)/18*$B$1)-INDEX($O$3:$R$13,MATCH(($A13+(100-$B$3*18/$B$1-10)/18*$B$1),$O$3:$O$13,1),1))*((INDEX($O$3:$R$13,MATCH(($A13+(100-$B$3*18/$B$1-10)/18*$B$1),$O$3:$O$13,1)+1,4)-INDEX($O$3:$R$13,MATCH(($A13+(100-$B$3*18/$B$1-10)/18*$B$1),$O$3:$O$13,1),4))/(INDEX($O$3:$R$13,MATCH(($A13+(100-$B$3*18/$B$1-10)/18*$B$1),$O$3:$O$13,1)+1,1)-INDEX($O$3:$R$13,MATCH(($A13+(100-$B$3*18/$B$1-10)/18*$B$1),$O$3:$O$13,1),1)))</f>
        <v>0.8</v>
      </c>
      <c r="F13" s="189">
        <f t="shared" si="2"/>
        <v>72</v>
      </c>
      <c r="G13" s="189">
        <f t="shared" si="3"/>
        <v>0.8</v>
      </c>
      <c r="H13" s="191">
        <f t="shared" si="4"/>
        <v>-0.11111111111111105</v>
      </c>
      <c r="I13" s="189">
        <f t="shared" si="5"/>
        <v>102.10057782102928</v>
      </c>
      <c r="J13" s="189">
        <f t="shared" si="6"/>
        <v>81.680462256823404</v>
      </c>
      <c r="L13" s="224">
        <v>0.88717149295380604</v>
      </c>
      <c r="M13" s="225">
        <v>64.925440523593522</v>
      </c>
      <c r="O13" s="196">
        <f>400/18*$B$1</f>
        <v>400</v>
      </c>
      <c r="P13" s="197">
        <v>0.7</v>
      </c>
      <c r="Q13" s="198">
        <f>P13*$B$6</f>
        <v>0.13999999999999999</v>
      </c>
      <c r="R13" s="199">
        <f>P13*$E$6</f>
        <v>0.42</v>
      </c>
      <c r="U13" s="171"/>
      <c r="W13" s="170"/>
      <c r="Y13" s="170"/>
      <c r="Z13" s="170"/>
    </row>
    <row r="14" spans="1:27" ht="15.75" x14ac:dyDescent="0.25">
      <c r="A14" s="36">
        <f t="shared" si="7"/>
        <v>71.999999999999986</v>
      </c>
      <c r="B14" s="188">
        <f t="array" ref="B14">1+INDEX($O$3:$R$13,MATCH(($A14+(100-$B$3*18/$B$1-10)/18*$B$1),$O$3:$O$13,1),3)+(($A14+(100-$B$3*18/$B$1-10)/18*$B$1)-INDEX($O$3:$R$13,MATCH(($A14+(100-$B$3*18/$B$1-10)/18*$B$1),$O$3:$O$13,1),1))*((INDEX($O$3:$R$13,MATCH(($A14+(100-$B$3*18/$B$1-10)/18*$B$1),$O$3:$O$13,1)+1,3)-INDEX($O$3:$R$13,MATCH(($A14+(100-$B$3*18/$B$1-10)/18*$B$1),$O$3:$O$13,1),3))/(INDEX($O$3:$R$13,MATCH(($A14+(100-$B$3*18/$B$1-10)/18*$B$1),$O$3:$O$13,1)+1,1)-INDEX($O$3:$R$13,MATCH(($A14+(100-$B$3*18/$B$1-10)/18*$B$1),$O$3:$O$13,1),1)))</f>
        <v>0.90400000000000003</v>
      </c>
      <c r="C14" s="189">
        <f t="shared" si="0"/>
        <v>63.716814159292035</v>
      </c>
      <c r="D14" s="190">
        <f t="shared" si="1"/>
        <v>0.90400000000000003</v>
      </c>
      <c r="E14" s="189">
        <f t="array" ref="E14">1+INDEX($O$3:$R$13,MATCH(($A14+(100-$B$3*18/$B$1-10)/18*$B$1),$O$3:$O$13,1),4)+(($A14+(100-$B$3*18/$B$1-10)/18*$B$1)-INDEX($O$3:$R$13,MATCH(($A14+(100-$B$3*18/$B$1-10)/18*$B$1),$O$3:$O$13,1),1))*((INDEX($O$3:$R$13,MATCH(($A14+(100-$B$3*18/$B$1-10)/18*$B$1),$O$3:$O$13,1)+1,4)-INDEX($O$3:$R$13,MATCH(($A14+(100-$B$3*18/$B$1-10)/18*$B$1),$O$3:$O$13,1),4))/(INDEX($O$3:$R$13,MATCH(($A14+(100-$B$3*18/$B$1-10)/18*$B$1),$O$3:$O$13,1)+1,1)-INDEX($O$3:$R$13,MATCH(($A14+(100-$B$3*18/$B$1-10)/18*$B$1),$O$3:$O$13,1),1)))</f>
        <v>0.80799999999999994</v>
      </c>
      <c r="F14" s="189">
        <f t="shared" si="2"/>
        <v>71.287128712871294</v>
      </c>
      <c r="G14" s="189">
        <f t="shared" si="3"/>
        <v>0.80799999999999994</v>
      </c>
      <c r="H14" s="191">
        <f t="shared" si="4"/>
        <v>-0.10619469026548678</v>
      </c>
      <c r="I14" s="189">
        <f t="shared" si="5"/>
        <v>98.338679073147631</v>
      </c>
      <c r="J14" s="189">
        <f t="shared" si="6"/>
        <v>78.670943258518108</v>
      </c>
      <c r="L14" s="224">
        <v>0.89418079717227239</v>
      </c>
      <c r="M14" s="225">
        <v>64.41650299598507</v>
      </c>
      <c r="U14" s="171"/>
      <c r="W14" s="170"/>
      <c r="X14" s="181" t="s">
        <v>225</v>
      </c>
      <c r="Y14" s="181"/>
      <c r="Z14" s="182"/>
      <c r="AA14" s="71"/>
    </row>
    <row r="15" spans="1:27" ht="15.75" x14ac:dyDescent="0.25">
      <c r="A15" s="36">
        <f t="shared" si="7"/>
        <v>75.59999999999998</v>
      </c>
      <c r="B15" s="188">
        <f t="array" ref="B15">1+INDEX($O$3:$R$13,MATCH(($A15+(100-$B$3*18/$B$1-10)/18*$B$1),$O$3:$O$13,1),3)+(($A15+(100-$B$3*18/$B$1-10)/18*$B$1)-INDEX($O$3:$R$13,MATCH(($A15+(100-$B$3*18/$B$1-10)/18*$B$1),$O$3:$O$13,1),1))*((INDEX($O$3:$R$13,MATCH(($A15+(100-$B$3*18/$B$1-10)/18*$B$1),$O$3:$O$13,1)+1,3)-INDEX($O$3:$R$13,MATCH(($A15+(100-$B$3*18/$B$1-10)/18*$B$1),$O$3:$O$13,1),3))/(INDEX($O$3:$R$13,MATCH(($A15+(100-$B$3*18/$B$1-10)/18*$B$1),$O$3:$O$13,1)+1,1)-INDEX($O$3:$R$13,MATCH(($A15+(100-$B$3*18/$B$1-10)/18*$B$1),$O$3:$O$13,1),1)))</f>
        <v>0.91120000000000001</v>
      </c>
      <c r="C15" s="189">
        <f t="shared" si="0"/>
        <v>63.21334503950834</v>
      </c>
      <c r="D15" s="190">
        <f t="shared" si="1"/>
        <v>0.91120000000000001</v>
      </c>
      <c r="E15" s="189">
        <f t="array" ref="E15">1+INDEX($O$3:$R$13,MATCH(($A15+(100-$B$3*18/$B$1-10)/18*$B$1),$O$3:$O$13,1),4)+(($A15+(100-$B$3*18/$B$1-10)/18*$B$1)-INDEX($O$3:$R$13,MATCH(($A15+(100-$B$3*18/$B$1-10)/18*$B$1),$O$3:$O$13,1),1))*((INDEX($O$3:$R$13,MATCH(($A15+(100-$B$3*18/$B$1-10)/18*$B$1),$O$3:$O$13,1)+1,4)-INDEX($O$3:$R$13,MATCH(($A15+(100-$B$3*18/$B$1-10)/18*$B$1),$O$3:$O$13,1),4))/(INDEX($O$3:$R$13,MATCH(($A15+(100-$B$3*18/$B$1-10)/18*$B$1),$O$3:$O$13,1)+1,1)-INDEX($O$3:$R$13,MATCH(($A15+(100-$B$3*18/$B$1-10)/18*$B$1),$O$3:$O$13,1),1)))</f>
        <v>0.82240000000000002</v>
      </c>
      <c r="F15" s="189">
        <f t="shared" si="2"/>
        <v>70.038910505836583</v>
      </c>
      <c r="G15" s="189">
        <f t="shared" si="3"/>
        <v>0.82239999999999991</v>
      </c>
      <c r="H15" s="191">
        <f t="shared" si="4"/>
        <v>-9.7453906935908829E-2</v>
      </c>
      <c r="I15" s="189">
        <f t="shared" si="5"/>
        <v>94.925762910147981</v>
      </c>
      <c r="J15" s="189">
        <f t="shared" si="6"/>
        <v>75.940610328118396</v>
      </c>
      <c r="L15" s="224">
        <v>0.90157071275769685</v>
      </c>
      <c r="M15" s="225">
        <v>63.888499465355174</v>
      </c>
      <c r="U15" s="171"/>
      <c r="W15" s="170"/>
      <c r="X15" t="s">
        <v>227</v>
      </c>
      <c r="Z15" s="170"/>
    </row>
    <row r="16" spans="1:27" ht="15.75" x14ac:dyDescent="0.25">
      <c r="A16" s="36">
        <f t="shared" si="7"/>
        <v>79.199999999999974</v>
      </c>
      <c r="B16" s="188">
        <f t="array" ref="B16">1+INDEX($O$3:$R$13,MATCH(($A16+(100-$B$3*18/$B$1-10)/18*$B$1),$O$3:$O$13,1),3)+(($A16+(100-$B$3*18/$B$1-10)/18*$B$1)-INDEX($O$3:$R$13,MATCH(($A16+(100-$B$3*18/$B$1-10)/18*$B$1),$O$3:$O$13,1),1))*((INDEX($O$3:$R$13,MATCH(($A16+(100-$B$3*18/$B$1-10)/18*$B$1),$O$3:$O$13,1)+1,3)-INDEX($O$3:$R$13,MATCH(($A16+(100-$B$3*18/$B$1-10)/18*$B$1),$O$3:$O$13,1),3))/(INDEX($O$3:$R$13,MATCH(($A16+(100-$B$3*18/$B$1-10)/18*$B$1),$O$3:$O$13,1)+1,1)-INDEX($O$3:$R$13,MATCH(($A16+(100-$B$3*18/$B$1-10)/18*$B$1),$O$3:$O$13,1),1)))</f>
        <v>0.91839999999999999</v>
      </c>
      <c r="C16" s="189">
        <f t="shared" si="0"/>
        <v>62.717770034843205</v>
      </c>
      <c r="D16" s="190">
        <f t="shared" si="1"/>
        <v>0.91839999999999999</v>
      </c>
      <c r="E16" s="189">
        <f t="array" ref="E16">1+INDEX($O$3:$R$13,MATCH(($A16+(100-$B$3*18/$B$1-10)/18*$B$1),$O$3:$O$13,1),4)+(($A16+(100-$B$3*18/$B$1-10)/18*$B$1)-INDEX($O$3:$R$13,MATCH(($A16+(100-$B$3*18/$B$1-10)/18*$B$1),$O$3:$O$13,1),1))*((INDEX($O$3:$R$13,MATCH(($A16+(100-$B$3*18/$B$1-10)/18*$B$1),$O$3:$O$13,1)+1,4)-INDEX($O$3:$R$13,MATCH(($A16+(100-$B$3*18/$B$1-10)/18*$B$1),$O$3:$O$13,1),4))/(INDEX($O$3:$R$13,MATCH(($A16+(100-$B$3*18/$B$1-10)/18*$B$1),$O$3:$O$13,1)+1,1)-INDEX($O$3:$R$13,MATCH(($A16+(100-$B$3*18/$B$1-10)/18*$B$1),$O$3:$O$13,1),1)))</f>
        <v>0.83679999999999999</v>
      </c>
      <c r="F16" s="189">
        <f t="shared" si="2"/>
        <v>68.833652007648183</v>
      </c>
      <c r="G16" s="189">
        <f t="shared" si="3"/>
        <v>0.83679999999999999</v>
      </c>
      <c r="H16" s="191">
        <f t="shared" si="4"/>
        <v>-8.8850174216027922E-2</v>
      </c>
      <c r="I16" s="189">
        <f t="shared" si="5"/>
        <v>91.814549982030002</v>
      </c>
      <c r="J16" s="189">
        <f t="shared" si="6"/>
        <v>73.451639985623999</v>
      </c>
      <c r="L16" s="224">
        <v>0.90933317743458675</v>
      </c>
      <c r="M16" s="225">
        <v>63.343119364127105</v>
      </c>
      <c r="U16" s="171"/>
      <c r="W16" s="170"/>
      <c r="X16" t="s">
        <v>228</v>
      </c>
      <c r="Z16" s="170"/>
    </row>
    <row r="17" spans="1:28" ht="15.75" x14ac:dyDescent="0.25">
      <c r="A17" s="36">
        <f t="shared" si="7"/>
        <v>82.799999999999969</v>
      </c>
      <c r="B17" s="188">
        <f t="array" ref="B17">1+INDEX($O$3:$R$13,MATCH(($A17+(100-$B$3*18/$B$1-10)/18*$B$1),$O$3:$O$13,1),3)+(($A17+(100-$B$3*18/$B$1-10)/18*$B$1)-INDEX($O$3:$R$13,MATCH(($A17+(100-$B$3*18/$B$1-10)/18*$B$1),$O$3:$O$13,1),1))*((INDEX($O$3:$R$13,MATCH(($A17+(100-$B$3*18/$B$1-10)/18*$B$1),$O$3:$O$13,1)+1,3)-INDEX($O$3:$R$13,MATCH(($A17+(100-$B$3*18/$B$1-10)/18*$B$1),$O$3:$O$13,1),3))/(INDEX($O$3:$R$13,MATCH(($A17+(100-$B$3*18/$B$1-10)/18*$B$1),$O$3:$O$13,1)+1,1)-INDEX($O$3:$R$13,MATCH(($A17+(100-$B$3*18/$B$1-10)/18*$B$1),$O$3:$O$13,1),1)))</f>
        <v>0.92559999999999998</v>
      </c>
      <c r="C17" s="189">
        <f t="shared" si="0"/>
        <v>62.22990492653414</v>
      </c>
      <c r="D17" s="190">
        <f t="shared" si="1"/>
        <v>0.92559999999999998</v>
      </c>
      <c r="E17" s="189">
        <f t="array" ref="E17">1+INDEX($O$3:$R$13,MATCH(($A17+(100-$B$3*18/$B$1-10)/18*$B$1),$O$3:$O$13,1),4)+(($A17+(100-$B$3*18/$B$1-10)/18*$B$1)-INDEX($O$3:$R$13,MATCH(($A17+(100-$B$3*18/$B$1-10)/18*$B$1),$O$3:$O$13,1),1))*((INDEX($O$3:$R$13,MATCH(($A17+(100-$B$3*18/$B$1-10)/18*$B$1),$O$3:$O$13,1)+1,4)-INDEX($O$3:$R$13,MATCH(($A17+(100-$B$3*18/$B$1-10)/18*$B$1),$O$3:$O$13,1),4))/(INDEX($O$3:$R$13,MATCH(($A17+(100-$B$3*18/$B$1-10)/18*$B$1),$O$3:$O$13,1)+1,1)-INDEX($O$3:$R$13,MATCH(($A17+(100-$B$3*18/$B$1-10)/18*$B$1),$O$3:$O$13,1),1)))</f>
        <v>0.85119999999999996</v>
      </c>
      <c r="F17" s="189">
        <f t="shared" si="2"/>
        <v>67.669172932330838</v>
      </c>
      <c r="G17" s="189">
        <f t="shared" si="3"/>
        <v>0.85119999999999985</v>
      </c>
      <c r="H17" s="191">
        <f t="shared" si="4"/>
        <v>-8.0380293863440033E-2</v>
      </c>
      <c r="I17" s="189">
        <f t="shared" si="5"/>
        <v>88.965966275482316</v>
      </c>
      <c r="J17" s="189">
        <f t="shared" si="6"/>
        <v>71.172773020385861</v>
      </c>
      <c r="L17" s="224">
        <v>0.91745539580144775</v>
      </c>
      <c r="M17" s="225">
        <v>62.782343712397299</v>
      </c>
      <c r="U17" s="171"/>
      <c r="W17" s="170"/>
      <c r="X17" t="s">
        <v>229</v>
      </c>
    </row>
    <row r="18" spans="1:28" ht="15.75" x14ac:dyDescent="0.25">
      <c r="A18" s="36">
        <f t="shared" si="7"/>
        <v>86.399999999999963</v>
      </c>
      <c r="B18" s="188">
        <f t="array" ref="B18">1+INDEX($O$3:$R$13,MATCH(($A18+(100-$B$3*18/$B$1-10)/18*$B$1),$O$3:$O$13,1),3)+(($A18+(100-$B$3*18/$B$1-10)/18*$B$1)-INDEX($O$3:$R$13,MATCH(($A18+(100-$B$3*18/$B$1-10)/18*$B$1),$O$3:$O$13,1),1))*((INDEX($O$3:$R$13,MATCH(($A18+(100-$B$3*18/$B$1-10)/18*$B$1),$O$3:$O$13,1)+1,3)-INDEX($O$3:$R$13,MATCH(($A18+(100-$B$3*18/$B$1-10)/18*$B$1),$O$3:$O$13,1),3))/(INDEX($O$3:$R$13,MATCH(($A18+(100-$B$3*18/$B$1-10)/18*$B$1),$O$3:$O$13,1)+1,1)-INDEX($O$3:$R$13,MATCH(($A18+(100-$B$3*18/$B$1-10)/18*$B$1),$O$3:$O$13,1),1)))</f>
        <v>0.93279999999999996</v>
      </c>
      <c r="C18" s="189">
        <f t="shared" si="0"/>
        <v>61.749571183533455</v>
      </c>
      <c r="D18" s="190">
        <f t="shared" si="1"/>
        <v>0.93279999999999996</v>
      </c>
      <c r="E18" s="189">
        <f t="array" ref="E18">1+INDEX($O$3:$R$13,MATCH(($A18+(100-$B$3*18/$B$1-10)/18*$B$1),$O$3:$O$13,1),4)+(($A18+(100-$B$3*18/$B$1-10)/18*$B$1)-INDEX($O$3:$R$13,MATCH(($A18+(100-$B$3*18/$B$1-10)/18*$B$1),$O$3:$O$13,1),1))*((INDEX($O$3:$R$13,MATCH(($A18+(100-$B$3*18/$B$1-10)/18*$B$1),$O$3:$O$13,1)+1,4)-INDEX($O$3:$R$13,MATCH(($A18+(100-$B$3*18/$B$1-10)/18*$B$1),$O$3:$O$13,1),4))/(INDEX($O$3:$R$13,MATCH(($A18+(100-$B$3*18/$B$1-10)/18*$B$1),$O$3:$O$13,1)+1,1)-INDEX($O$3:$R$13,MATCH(($A18+(100-$B$3*18/$B$1-10)/18*$B$1),$O$3:$O$13,1),1)))</f>
        <v>0.86559999999999993</v>
      </c>
      <c r="F18" s="189">
        <f t="shared" si="2"/>
        <v>66.543438077634022</v>
      </c>
      <c r="G18" s="189">
        <f t="shared" si="3"/>
        <v>0.86559999999999993</v>
      </c>
      <c r="H18" s="191">
        <f t="shared" si="4"/>
        <v>-7.2041166380789057E-2</v>
      </c>
      <c r="I18" s="189">
        <f t="shared" si="5"/>
        <v>86.347434981240426</v>
      </c>
      <c r="J18" s="189">
        <f t="shared" si="6"/>
        <v>69.077947984992349</v>
      </c>
      <c r="L18" s="224">
        <v>0.92591960933387374</v>
      </c>
      <c r="M18" s="225">
        <v>62.208424380858148</v>
      </c>
      <c r="U18" s="171"/>
      <c r="W18" s="170"/>
      <c r="X18" t="s">
        <v>231</v>
      </c>
    </row>
    <row r="19" spans="1:28" ht="15.75" x14ac:dyDescent="0.25">
      <c r="A19" s="36">
        <f t="shared" si="7"/>
        <v>89.999999999999957</v>
      </c>
      <c r="B19" s="188">
        <f t="array" ref="B19">1+INDEX($O$3:$R$13,MATCH(($A19+(100-$B$3*18/$B$1-10)/18*$B$1),$O$3:$O$13,1),3)+(($A19+(100-$B$3*18/$B$1-10)/18*$B$1)-INDEX($O$3:$R$13,MATCH(($A19+(100-$B$3*18/$B$1-10)/18*$B$1),$O$3:$O$13,1),1))*((INDEX($O$3:$R$13,MATCH(($A19+(100-$B$3*18/$B$1-10)/18*$B$1),$O$3:$O$13,1)+1,3)-INDEX($O$3:$R$13,MATCH(($A19+(100-$B$3*18/$B$1-10)/18*$B$1),$O$3:$O$13,1),3))/(INDEX($O$3:$R$13,MATCH(($A19+(100-$B$3*18/$B$1-10)/18*$B$1),$O$3:$O$13,1)+1,1)-INDEX($O$3:$R$13,MATCH(($A19+(100-$B$3*18/$B$1-10)/18*$B$1),$O$3:$O$13,1),1)))</f>
        <v>0.94</v>
      </c>
      <c r="C19" s="189">
        <f t="shared" si="0"/>
        <v>61.276595744680854</v>
      </c>
      <c r="D19" s="190">
        <f t="shared" si="1"/>
        <v>0.94</v>
      </c>
      <c r="E19" s="189">
        <f t="array" ref="E19">1+INDEX($O$3:$R$13,MATCH(($A19+(100-$B$3*18/$B$1-10)/18*$B$1),$O$3:$O$13,1),4)+(($A19+(100-$B$3*18/$B$1-10)/18*$B$1)-INDEX($O$3:$R$13,MATCH(($A19+(100-$B$3*18/$B$1-10)/18*$B$1),$O$3:$O$13,1),1))*((INDEX($O$3:$R$13,MATCH(($A19+(100-$B$3*18/$B$1-10)/18*$B$1),$O$3:$O$13,1)+1,4)-INDEX($O$3:$R$13,MATCH(($A19+(100-$B$3*18/$B$1-10)/18*$B$1),$O$3:$O$13,1),4))/(INDEX($O$3:$R$13,MATCH(($A19+(100-$B$3*18/$B$1-10)/18*$B$1),$O$3:$O$13,1)+1,1)-INDEX($O$3:$R$13,MATCH(($A19+(100-$B$3*18/$B$1-10)/18*$B$1),$O$3:$O$13,1),1)))</f>
        <v>0.87999999999999989</v>
      </c>
      <c r="F19" s="189">
        <f t="shared" si="2"/>
        <v>65.454545454545467</v>
      </c>
      <c r="G19" s="189">
        <f t="shared" si="3"/>
        <v>0.87999999999999989</v>
      </c>
      <c r="H19" s="191">
        <f t="shared" si="4"/>
        <v>-6.3829787234042645E-2</v>
      </c>
      <c r="I19" s="189">
        <f t="shared" si="5"/>
        <v>83.931578186627064</v>
      </c>
      <c r="J19" s="189">
        <f t="shared" si="6"/>
        <v>67.145262549301648</v>
      </c>
      <c r="L19" s="224">
        <v>0.93470298396025187</v>
      </c>
      <c r="M19" s="225">
        <v>61.623853767914618</v>
      </c>
      <c r="U19" s="171"/>
      <c r="W19" s="170"/>
      <c r="X19" s="170" t="s">
        <v>232</v>
      </c>
    </row>
    <row r="20" spans="1:28" ht="15.75" x14ac:dyDescent="0.25">
      <c r="A20" s="36">
        <f t="shared" si="7"/>
        <v>93.599999999999952</v>
      </c>
      <c r="B20" s="188">
        <f t="array" ref="B20">1+INDEX($O$3:$R$13,MATCH(($A20+(100-$B$3*18/$B$1-10)/18*$B$1),$O$3:$O$13,1),3)+(($A20+(100-$B$3*18/$B$1-10)/18*$B$1)-INDEX($O$3:$R$13,MATCH(($A20+(100-$B$3*18/$B$1-10)/18*$B$1),$O$3:$O$13,1),1))*((INDEX($O$3:$R$13,MATCH(($A20+(100-$B$3*18/$B$1-10)/18*$B$1),$O$3:$O$13,1)+1,3)-INDEX($O$3:$R$13,MATCH(($A20+(100-$B$3*18/$B$1-10)/18*$B$1),$O$3:$O$13,1),3))/(INDEX($O$3:$R$13,MATCH(($A20+(100-$B$3*18/$B$1-10)/18*$B$1),$O$3:$O$13,1)+1,1)-INDEX($O$3:$R$13,MATCH(($A20+(100-$B$3*18/$B$1-10)/18*$B$1),$O$3:$O$13,1),1)))</f>
        <v>0.94719999999999982</v>
      </c>
      <c r="C20" s="189">
        <f t="shared" si="0"/>
        <v>60.810810810810821</v>
      </c>
      <c r="D20" s="190">
        <f t="shared" si="1"/>
        <v>0.94719999999999982</v>
      </c>
      <c r="E20" s="189">
        <f t="array" ref="E20">1+INDEX($O$3:$R$13,MATCH(($A20+(100-$B$3*18/$B$1-10)/18*$B$1),$O$3:$O$13,1),4)+(($A20+(100-$B$3*18/$B$1-10)/18*$B$1)-INDEX($O$3:$R$13,MATCH(($A20+(100-$B$3*18/$B$1-10)/18*$B$1),$O$3:$O$13,1),1))*((INDEX($O$3:$R$13,MATCH(($A20+(100-$B$3*18/$B$1-10)/18*$B$1),$O$3:$O$13,1)+1,4)-INDEX($O$3:$R$13,MATCH(($A20+(100-$B$3*18/$B$1-10)/18*$B$1),$O$3:$O$13,1),4))/(INDEX($O$3:$R$13,MATCH(($A20+(100-$B$3*18/$B$1-10)/18*$B$1),$O$3:$O$13,1)+1,1)-INDEX($O$3:$R$13,MATCH(($A20+(100-$B$3*18/$B$1-10)/18*$B$1),$O$3:$O$13,1),1)))</f>
        <v>0.89439999999999975</v>
      </c>
      <c r="F20" s="189">
        <f t="shared" si="2"/>
        <v>64.400715563506282</v>
      </c>
      <c r="G20" s="189">
        <f t="shared" si="3"/>
        <v>0.89439999999999975</v>
      </c>
      <c r="H20" s="191">
        <f t="shared" si="4"/>
        <v>-5.5743243243243312E-2</v>
      </c>
      <c r="I20" s="189">
        <f t="shared" si="5"/>
        <v>81.695218070370842</v>
      </c>
      <c r="J20" s="189">
        <f t="shared" si="6"/>
        <v>65.356174456296671</v>
      </c>
      <c r="L20" s="224">
        <v>0.94377763484136346</v>
      </c>
      <c r="M20" s="225">
        <v>61.031325466492753</v>
      </c>
      <c r="U20" s="171"/>
      <c r="W20" s="170"/>
      <c r="X20" s="170" t="s">
        <v>230</v>
      </c>
    </row>
    <row r="21" spans="1:28" ht="15.75" x14ac:dyDescent="0.25">
      <c r="A21" s="36">
        <f t="shared" si="7"/>
        <v>97.199999999999946</v>
      </c>
      <c r="B21" s="188">
        <f t="array" ref="B21">1+INDEX($O$3:$R$13,MATCH(($A21+(100-$B$3*18/$B$1-10)/18*$B$1),$O$3:$O$13,1),3)+(($A21+(100-$B$3*18/$B$1-10)/18*$B$1)-INDEX($O$3:$R$13,MATCH(($A21+(100-$B$3*18/$B$1-10)/18*$B$1),$O$3:$O$13,1),1))*((INDEX($O$3:$R$13,MATCH(($A21+(100-$B$3*18/$B$1-10)/18*$B$1),$O$3:$O$13,1)+1,3)-INDEX($O$3:$R$13,MATCH(($A21+(100-$B$3*18/$B$1-10)/18*$B$1),$O$3:$O$13,1),3))/(INDEX($O$3:$R$13,MATCH(($A21+(100-$B$3*18/$B$1-10)/18*$B$1),$O$3:$O$13,1)+1,1)-INDEX($O$3:$R$13,MATCH(($A21+(100-$B$3*18/$B$1-10)/18*$B$1),$O$3:$O$13,1),1)))</f>
        <v>0.9543999999999998</v>
      </c>
      <c r="C21" s="189">
        <f t="shared" si="0"/>
        <v>60.352053646269923</v>
      </c>
      <c r="D21" s="190">
        <f t="shared" si="1"/>
        <v>0.9543999999999998</v>
      </c>
      <c r="E21" s="189">
        <f t="array" ref="E21">1+INDEX($O$3:$R$13,MATCH(($A21+(100-$B$3*18/$B$1-10)/18*$B$1),$O$3:$O$13,1),4)+(($A21+(100-$B$3*18/$B$1-10)/18*$B$1)-INDEX($O$3:$R$13,MATCH(($A21+(100-$B$3*18/$B$1-10)/18*$B$1),$O$3:$O$13,1),1))*((INDEX($O$3:$R$13,MATCH(($A21+(100-$B$3*18/$B$1-10)/18*$B$1),$O$3:$O$13,1)+1,4)-INDEX($O$3:$R$13,MATCH(($A21+(100-$B$3*18/$B$1-10)/18*$B$1),$O$3:$O$13,1),4))/(INDEX($O$3:$R$13,MATCH(($A21+(100-$B$3*18/$B$1-10)/18*$B$1),$O$3:$O$13,1)+1,1)-INDEX($O$3:$R$13,MATCH(($A21+(100-$B$3*18/$B$1-10)/18*$B$1),$O$3:$O$13,1),1)))</f>
        <v>0.90879999999999983</v>
      </c>
      <c r="F21" s="189">
        <f t="shared" si="2"/>
        <v>63.380281690140862</v>
      </c>
      <c r="G21" s="189">
        <f t="shared" si="3"/>
        <v>0.90879999999999983</v>
      </c>
      <c r="H21" s="191">
        <f t="shared" si="4"/>
        <v>-4.7778709136630293E-2</v>
      </c>
      <c r="I21" s="189">
        <f t="shared" si="5"/>
        <v>79.618599963104145</v>
      </c>
      <c r="J21" s="189">
        <f t="shared" si="6"/>
        <v>63.694879970483328</v>
      </c>
      <c r="L21" s="224">
        <v>0.95311080310971441</v>
      </c>
      <c r="M21" s="225">
        <v>60.433687050937301</v>
      </c>
      <c r="U21" s="171"/>
      <c r="W21" s="170"/>
    </row>
    <row r="22" spans="1:28" ht="15.75" x14ac:dyDescent="0.25">
      <c r="A22" s="36">
        <f t="shared" si="7"/>
        <v>100.79999999999994</v>
      </c>
      <c r="B22" s="188">
        <f t="array" ref="B22">1+INDEX($O$3:$R$13,MATCH(($A22+(100-$B$3*18/$B$1-10)/18*$B$1),$O$3:$O$13,1),3)+(($A22+(100-$B$3*18/$B$1-10)/18*$B$1)-INDEX($O$3:$R$13,MATCH(($A22+(100-$B$3*18/$B$1-10)/18*$B$1),$O$3:$O$13,1),1))*((INDEX($O$3:$R$13,MATCH(($A22+(100-$B$3*18/$B$1-10)/18*$B$1),$O$3:$O$13,1)+1,3)-INDEX($O$3:$R$13,MATCH(($A22+(100-$B$3*18/$B$1-10)/18*$B$1),$O$3:$O$13,1),3))/(INDEX($O$3:$R$13,MATCH(($A22+(100-$B$3*18/$B$1-10)/18*$B$1),$O$3:$O$13,1)+1,1)-INDEX($O$3:$R$13,MATCH(($A22+(100-$B$3*18/$B$1-10)/18*$B$1),$O$3:$O$13,1),1)))</f>
        <v>0.96319999999999972</v>
      </c>
      <c r="C22" s="189">
        <f t="shared" si="0"/>
        <v>59.800664451827259</v>
      </c>
      <c r="D22" s="190">
        <f t="shared" si="1"/>
        <v>0.96319999999999972</v>
      </c>
      <c r="E22" s="189">
        <f t="array" ref="E22">1+INDEX($O$3:$R$13,MATCH(($A22+(100-$B$3*18/$B$1-10)/18*$B$1),$O$3:$O$13,1),4)+(($A22+(100-$B$3*18/$B$1-10)/18*$B$1)-INDEX($O$3:$R$13,MATCH(($A22+(100-$B$3*18/$B$1-10)/18*$B$1),$O$3:$O$13,1),1))*((INDEX($O$3:$R$13,MATCH(($A22+(100-$B$3*18/$B$1-10)/18*$B$1),$O$3:$O$13,1)+1,4)-INDEX($O$3:$R$13,MATCH(($A22+(100-$B$3*18/$B$1-10)/18*$B$1),$O$3:$O$13,1),4))/(INDEX($O$3:$R$13,MATCH(($A22+(100-$B$3*18/$B$1-10)/18*$B$1),$O$3:$O$13,1)+1,1)-INDEX($O$3:$R$13,MATCH(($A22+(100-$B$3*18/$B$1-10)/18*$B$1),$O$3:$O$13,1),1)))</f>
        <v>0.92639999999999945</v>
      </c>
      <c r="F22" s="189">
        <f t="shared" si="2"/>
        <v>62.176165803108844</v>
      </c>
      <c r="G22" s="189">
        <f t="shared" si="3"/>
        <v>0.92639999999999945</v>
      </c>
      <c r="H22" s="191">
        <f t="shared" si="4"/>
        <v>-3.8205980066445488E-2</v>
      </c>
      <c r="I22" s="189">
        <f t="shared" si="5"/>
        <v>77.68478181723232</v>
      </c>
      <c r="J22" s="189">
        <f t="shared" si="6"/>
        <v>62.147825453785856</v>
      </c>
      <c r="L22" s="224">
        <v>0.96266519266207118</v>
      </c>
      <c r="M22" s="225">
        <v>59.833886629595419</v>
      </c>
      <c r="U22" s="171"/>
      <c r="W22" s="194"/>
      <c r="X22" s="217" t="s">
        <v>253</v>
      </c>
      <c r="Y22" s="218"/>
      <c r="Z22" s="218"/>
      <c r="AB22" t="s">
        <v>98</v>
      </c>
    </row>
    <row r="23" spans="1:28" ht="15.75" x14ac:dyDescent="0.25">
      <c r="A23" s="36">
        <f t="shared" si="7"/>
        <v>104.39999999999993</v>
      </c>
      <c r="B23" s="188">
        <f t="array" ref="B23">1+INDEX($O$3:$R$13,MATCH(($A23+(100-$B$3*18/$B$1-10)/18*$B$1),$O$3:$O$13,1),3)+(($A23+(100-$B$3*18/$B$1-10)/18*$B$1)-INDEX($O$3:$R$13,MATCH(($A23+(100-$B$3*18/$B$1-10)/18*$B$1),$O$3:$O$13,1),1))*((INDEX($O$3:$R$13,MATCH(($A23+(100-$B$3*18/$B$1-10)/18*$B$1),$O$3:$O$13,1)+1,3)-INDEX($O$3:$R$13,MATCH(($A23+(100-$B$3*18/$B$1-10)/18*$B$1),$O$3:$O$13,1),3))/(INDEX($O$3:$R$13,MATCH(($A23+(100-$B$3*18/$B$1-10)/18*$B$1),$O$3:$O$13,1)+1,1)-INDEX($O$3:$R$13,MATCH(($A23+(100-$B$3*18/$B$1-10)/18*$B$1),$O$3:$O$13,1),1)))</f>
        <v>0.97759999999999969</v>
      </c>
      <c r="C23" s="189">
        <f t="shared" si="0"/>
        <v>58.919803600654681</v>
      </c>
      <c r="D23" s="190">
        <f t="shared" si="1"/>
        <v>0.97759999999999969</v>
      </c>
      <c r="E23" s="189">
        <f t="array" ref="E23">1+INDEX($O$3:$R$13,MATCH(($A23+(100-$B$3*18/$B$1-10)/18*$B$1),$O$3:$O$13,1),4)+(($A23+(100-$B$3*18/$B$1-10)/18*$B$1)-INDEX($O$3:$R$13,MATCH(($A23+(100-$B$3*18/$B$1-10)/18*$B$1),$O$3:$O$13,1),1))*((INDEX($O$3:$R$13,MATCH(($A23+(100-$B$3*18/$B$1-10)/18*$B$1),$O$3:$O$13,1)+1,4)-INDEX($O$3:$R$13,MATCH(($A23+(100-$B$3*18/$B$1-10)/18*$B$1),$O$3:$O$13,1),4))/(INDEX($O$3:$R$13,MATCH(($A23+(100-$B$3*18/$B$1-10)/18*$B$1),$O$3:$O$13,1)+1,1)-INDEX($O$3:$R$13,MATCH(($A23+(100-$B$3*18/$B$1-10)/18*$B$1),$O$3:$O$13,1),1)))</f>
        <v>0.95519999999999938</v>
      </c>
      <c r="F23" s="189">
        <f t="shared" si="2"/>
        <v>60.301507537688479</v>
      </c>
      <c r="G23" s="189">
        <f t="shared" si="3"/>
        <v>0.95519999999999938</v>
      </c>
      <c r="H23" s="191">
        <f t="shared" si="4"/>
        <v>-2.2913256955810479E-2</v>
      </c>
      <c r="I23" s="189">
        <f t="shared" si="5"/>
        <v>75.879149926856414</v>
      </c>
      <c r="J23" s="189">
        <f t="shared" si="6"/>
        <v>60.703319941485141</v>
      </c>
      <c r="L23" s="224">
        <v>0.97239946697272361</v>
      </c>
      <c r="M23" s="225">
        <v>59.234915234291996</v>
      </c>
      <c r="U23" s="171"/>
      <c r="W23" s="194"/>
      <c r="X23" t="s">
        <v>254</v>
      </c>
    </row>
    <row r="24" spans="1:28" ht="15.75" x14ac:dyDescent="0.25">
      <c r="A24" s="36">
        <f t="shared" si="7"/>
        <v>107.99999999999993</v>
      </c>
      <c r="B24" s="188">
        <f t="array" ref="B24">1+INDEX($O$3:$R$13,MATCH(($A24+(100-$B$3*18/$B$1-10)/18*$B$1),$O$3:$O$13,1),3)+(($A24+(100-$B$3*18/$B$1-10)/18*$B$1)-INDEX($O$3:$R$13,MATCH(($A24+(100-$B$3*18/$B$1-10)/18*$B$1),$O$3:$O$13,1),1))*((INDEX($O$3:$R$13,MATCH(($A24+(100-$B$3*18/$B$1-10)/18*$B$1),$O$3:$O$13,1)+1,3)-INDEX($O$3:$R$13,MATCH(($A24+(100-$B$3*18/$B$1-10)/18*$B$1),$O$3:$O$13,1),3))/(INDEX($O$3:$R$13,MATCH(($A24+(100-$B$3*18/$B$1-10)/18*$B$1),$O$3:$O$13,1)+1,1)-INDEX($O$3:$R$13,MATCH(($A24+(100-$B$3*18/$B$1-10)/18*$B$1),$O$3:$O$13,1),1)))</f>
        <v>0.99199999999999966</v>
      </c>
      <c r="C24" s="189">
        <f t="shared" si="0"/>
        <v>58.064516129032278</v>
      </c>
      <c r="D24" s="190">
        <f t="shared" si="1"/>
        <v>0.99199999999999966</v>
      </c>
      <c r="E24" s="189">
        <f t="array" ref="E24">1+INDEX($O$3:$R$13,MATCH(($A24+(100-$B$3*18/$B$1-10)/18*$B$1),$O$3:$O$13,1),4)+(($A24+(100-$B$3*18/$B$1-10)/18*$B$1)-INDEX($O$3:$R$13,MATCH(($A24+(100-$B$3*18/$B$1-10)/18*$B$1),$O$3:$O$13,1),1))*((INDEX($O$3:$R$13,MATCH(($A24+(100-$B$3*18/$B$1-10)/18*$B$1),$O$3:$O$13,1)+1,4)-INDEX($O$3:$R$13,MATCH(($A24+(100-$B$3*18/$B$1-10)/18*$B$1),$O$3:$O$13,1),4))/(INDEX($O$3:$R$13,MATCH(($A24+(100-$B$3*18/$B$1-10)/18*$B$1),$O$3:$O$13,1)+1,1)-INDEX($O$3:$R$13,MATCH(($A24+(100-$B$3*18/$B$1-10)/18*$B$1),$O$3:$O$13,1),1)))</f>
        <v>0.98399999999999932</v>
      </c>
      <c r="F24" s="189">
        <f t="shared" si="2"/>
        <v>58.536585365853703</v>
      </c>
      <c r="G24" s="189">
        <f t="shared" si="3"/>
        <v>0.98399999999999932</v>
      </c>
      <c r="H24" s="191">
        <f t="shared" si="4"/>
        <v>-8.064516129032584E-3</v>
      </c>
      <c r="I24" s="189">
        <f t="shared" si="5"/>
        <v>74.189031446513596</v>
      </c>
      <c r="J24" s="189">
        <f t="shared" si="6"/>
        <v>59.351225157210891</v>
      </c>
      <c r="L24" s="224">
        <v>0.98226889684369012</v>
      </c>
      <c r="M24" s="225">
        <v>58.639747410393646</v>
      </c>
      <c r="U24" s="171"/>
      <c r="W24" s="194"/>
      <c r="X24" t="s">
        <v>73</v>
      </c>
    </row>
    <row r="25" spans="1:28" ht="15.75" x14ac:dyDescent="0.25">
      <c r="A25" s="36">
        <f t="shared" si="7"/>
        <v>111.59999999999992</v>
      </c>
      <c r="B25" s="188">
        <f t="array" ref="B25">1+INDEX($O$3:$R$13,MATCH(($A25+(100-$B$3*18/$B$1-10)/18*$B$1),$O$3:$O$13,1),3)+(($A25+(100-$B$3*18/$B$1-10)/18*$B$1)-INDEX($O$3:$R$13,MATCH(($A25+(100-$B$3*18/$B$1-10)/18*$B$1),$O$3:$O$13,1),1))*((INDEX($O$3:$R$13,MATCH(($A25+(100-$B$3*18/$B$1-10)/18*$B$1),$O$3:$O$13,1)+1,3)-INDEX($O$3:$R$13,MATCH(($A25+(100-$B$3*18/$B$1-10)/18*$B$1),$O$3:$O$13,1),3))/(INDEX($O$3:$R$13,MATCH(($A25+(100-$B$3*18/$B$1-10)/18*$B$1),$O$3:$O$13,1)+1,1)-INDEX($O$3:$R$13,MATCH(($A25+(100-$B$3*18/$B$1-10)/18*$B$1),$O$3:$O$13,1),1)))</f>
        <v>1</v>
      </c>
      <c r="C25" s="189">
        <f t="shared" si="0"/>
        <v>57.6</v>
      </c>
      <c r="D25" s="190">
        <f t="shared" si="1"/>
        <v>1</v>
      </c>
      <c r="E25" s="189">
        <f t="array" ref="E25">1+INDEX($O$3:$R$13,MATCH(($A25+(100-$B$3*18/$B$1-10)/18*$B$1),$O$3:$O$13,1),4)+(($A25+(100-$B$3*18/$B$1-10)/18*$B$1)-INDEX($O$3:$R$13,MATCH(($A25+(100-$B$3*18/$B$1-10)/18*$B$1),$O$3:$O$13,1),1))*((INDEX($O$3:$R$13,MATCH(($A25+(100-$B$3*18/$B$1-10)/18*$B$1),$O$3:$O$13,1)+1,4)-INDEX($O$3:$R$13,MATCH(($A25+(100-$B$3*18/$B$1-10)/18*$B$1),$O$3:$O$13,1),4))/(INDEX($O$3:$R$13,MATCH(($A25+(100-$B$3*18/$B$1-10)/18*$B$1),$O$3:$O$13,1)+1,1)-INDEX($O$3:$R$13,MATCH(($A25+(100-$B$3*18/$B$1-10)/18*$B$1),$O$3:$O$13,1),1)))</f>
        <v>1</v>
      </c>
      <c r="F25" s="189">
        <f t="shared" si="2"/>
        <v>57.6</v>
      </c>
      <c r="G25" s="189">
        <f t="shared" si="3"/>
        <v>1</v>
      </c>
      <c r="H25" s="191">
        <f t="shared" si="4"/>
        <v>0</v>
      </c>
      <c r="I25" s="189">
        <f t="shared" si="5"/>
        <v>72.603381856936451</v>
      </c>
      <c r="J25" s="189">
        <f t="shared" si="6"/>
        <v>58.08270548554917</v>
      </c>
      <c r="L25" s="224">
        <v>0.99222614074797777</v>
      </c>
      <c r="M25" s="225">
        <v>58.051282499550894</v>
      </c>
      <c r="U25" s="171"/>
      <c r="W25" s="194"/>
      <c r="X25" s="29" t="s">
        <v>255</v>
      </c>
      <c r="Z25" s="116"/>
      <c r="AA25" s="116"/>
    </row>
    <row r="26" spans="1:28" ht="15.75" x14ac:dyDescent="0.25">
      <c r="A26" s="36">
        <f t="shared" si="7"/>
        <v>115.19999999999992</v>
      </c>
      <c r="B26" s="188">
        <f t="array" ref="B26">1+INDEX($O$3:$R$13,MATCH(($A26+(100-$B$3*18/$B$1-10)/18*$B$1),$O$3:$O$13,1),3)+(($A26+(100-$B$3*18/$B$1-10)/18*$B$1)-INDEX($O$3:$R$13,MATCH(($A26+(100-$B$3*18/$B$1-10)/18*$B$1),$O$3:$O$13,1),1))*((INDEX($O$3:$R$13,MATCH(($A26+(100-$B$3*18/$B$1-10)/18*$B$1),$O$3:$O$13,1)+1,3)-INDEX($O$3:$R$13,MATCH(($A26+(100-$B$3*18/$B$1-10)/18*$B$1),$O$3:$O$13,1),3))/(INDEX($O$3:$R$13,MATCH(($A26+(100-$B$3*18/$B$1-10)/18*$B$1),$O$3:$O$13,1)+1,1)-INDEX($O$3:$R$13,MATCH(($A26+(100-$B$3*18/$B$1-10)/18*$B$1),$O$3:$O$13,1),1)))</f>
        <v>1</v>
      </c>
      <c r="C26" s="189">
        <f t="shared" si="0"/>
        <v>57.6</v>
      </c>
      <c r="D26" s="190">
        <f t="shared" si="1"/>
        <v>1</v>
      </c>
      <c r="E26" s="189">
        <f t="array" ref="E26">1+INDEX($O$3:$R$13,MATCH(($A26+(100-$B$3*18/$B$1-10)/18*$B$1),$O$3:$O$13,1),4)+(($A26+(100-$B$3*18/$B$1-10)/18*$B$1)-INDEX($O$3:$R$13,MATCH(($A26+(100-$B$3*18/$B$1-10)/18*$B$1),$O$3:$O$13,1),1))*((INDEX($O$3:$R$13,MATCH(($A26+(100-$B$3*18/$B$1-10)/18*$B$1),$O$3:$O$13,1)+1,4)-INDEX($O$3:$R$13,MATCH(($A26+(100-$B$3*18/$B$1-10)/18*$B$1),$O$3:$O$13,1),4))/(INDEX($O$3:$R$13,MATCH(($A26+(100-$B$3*18/$B$1-10)/18*$B$1),$O$3:$O$13,1)+1,1)-INDEX($O$3:$R$13,MATCH(($A26+(100-$B$3*18/$B$1-10)/18*$B$1),$O$3:$O$13,1),1)))</f>
        <v>1</v>
      </c>
      <c r="F26" s="189">
        <f t="shared" si="2"/>
        <v>57.6</v>
      </c>
      <c r="G26" s="189">
        <f t="shared" si="3"/>
        <v>1</v>
      </c>
      <c r="H26" s="191">
        <f t="shared" si="4"/>
        <v>0</v>
      </c>
      <c r="I26" s="189">
        <f t="shared" si="5"/>
        <v>71.112530988252544</v>
      </c>
      <c r="J26" s="189">
        <f t="shared" si="6"/>
        <v>56.890024790602041</v>
      </c>
      <c r="L26" s="224">
        <v>1.0022221307772636</v>
      </c>
      <c r="M26" s="225">
        <v>57.472289057645213</v>
      </c>
      <c r="U26" s="171"/>
      <c r="W26" s="194"/>
      <c r="X26" t="s">
        <v>256</v>
      </c>
    </row>
    <row r="27" spans="1:28" ht="15.75" x14ac:dyDescent="0.25">
      <c r="A27" s="36">
        <f t="shared" si="7"/>
        <v>118.79999999999991</v>
      </c>
      <c r="B27" s="188">
        <f t="array" ref="B27">1+INDEX($O$3:$R$13,MATCH(($A27+(100-$B$3*18/$B$1-10)/18*$B$1),$O$3:$O$13,1),3)+(($A27+(100-$B$3*18/$B$1-10)/18*$B$1)-INDEX($O$3:$R$13,MATCH(($A27+(100-$B$3*18/$B$1-10)/18*$B$1),$O$3:$O$13,1),1))*((INDEX($O$3:$R$13,MATCH(($A27+(100-$B$3*18/$B$1-10)/18*$B$1),$O$3:$O$13,1)+1,3)-INDEX($O$3:$R$13,MATCH(($A27+(100-$B$3*18/$B$1-10)/18*$B$1),$O$3:$O$13,1),3))/(INDEX($O$3:$R$13,MATCH(($A27+(100-$B$3*18/$B$1-10)/18*$B$1),$O$3:$O$13,1)+1,1)-INDEX($O$3:$R$13,MATCH(($A27+(100-$B$3*18/$B$1-10)/18*$B$1),$O$3:$O$13,1),1)))</f>
        <v>1</v>
      </c>
      <c r="C27" s="189">
        <f t="shared" si="0"/>
        <v>57.6</v>
      </c>
      <c r="D27" s="190">
        <f t="shared" si="1"/>
        <v>1</v>
      </c>
      <c r="E27" s="189">
        <f t="array" ref="E27">1+INDEX($O$3:$R$13,MATCH(($A27+(100-$B$3*18/$B$1-10)/18*$B$1),$O$3:$O$13,1),4)+(($A27+(100-$B$3*18/$B$1-10)/18*$B$1)-INDEX($O$3:$R$13,MATCH(($A27+(100-$B$3*18/$B$1-10)/18*$B$1),$O$3:$O$13,1),1))*((INDEX($O$3:$R$13,MATCH(($A27+(100-$B$3*18/$B$1-10)/18*$B$1),$O$3:$O$13,1)+1,4)-INDEX($O$3:$R$13,MATCH(($A27+(100-$B$3*18/$B$1-10)/18*$B$1),$O$3:$O$13,1),4))/(INDEX($O$3:$R$13,MATCH(($A27+(100-$B$3*18/$B$1-10)/18*$B$1),$O$3:$O$13,1)+1,1)-INDEX($O$3:$R$13,MATCH(($A27+(100-$B$3*18/$B$1-10)/18*$B$1),$O$3:$O$13,1),1)))</f>
        <v>1</v>
      </c>
      <c r="F27" s="189">
        <f t="shared" si="2"/>
        <v>57.6</v>
      </c>
      <c r="G27" s="189">
        <f t="shared" si="3"/>
        <v>1</v>
      </c>
      <c r="H27" s="191">
        <f t="shared" si="4"/>
        <v>0</v>
      </c>
      <c r="I27" s="189">
        <f t="shared" si="5"/>
        <v>69.707975183668751</v>
      </c>
      <c r="J27" s="189">
        <f t="shared" si="6"/>
        <v>55.766380146935006</v>
      </c>
      <c r="L27" s="224">
        <v>1.0122070300100934</v>
      </c>
      <c r="M27" s="225">
        <v>56.905354628317127</v>
      </c>
      <c r="U27" s="171"/>
      <c r="W27" s="194"/>
      <c r="X27" t="s">
        <v>257</v>
      </c>
    </row>
    <row r="28" spans="1:28" ht="15.75" x14ac:dyDescent="0.25">
      <c r="A28" s="36">
        <f t="shared" si="7"/>
        <v>122.39999999999991</v>
      </c>
      <c r="B28" s="188">
        <f t="array" ref="B28">1+INDEX($O$3:$R$13,MATCH(($A28+(100-$B$3*18/$B$1-10)/18*$B$1),$O$3:$O$13,1),3)+(($A28+(100-$B$3*18/$B$1-10)/18*$B$1)-INDEX($O$3:$R$13,MATCH(($A28+(100-$B$3*18/$B$1-10)/18*$B$1),$O$3:$O$13,1),1))*((INDEX($O$3:$R$13,MATCH(($A28+(100-$B$3*18/$B$1-10)/18*$B$1),$O$3:$O$13,1)+1,3)-INDEX($O$3:$R$13,MATCH(($A28+(100-$B$3*18/$B$1-10)/18*$B$1),$O$3:$O$13,1),3))/(INDEX($O$3:$R$13,MATCH(($A28+(100-$B$3*18/$B$1-10)/18*$B$1),$O$3:$O$13,1)+1,1)-INDEX($O$3:$R$13,MATCH(($A28+(100-$B$3*18/$B$1-10)/18*$B$1),$O$3:$O$13,1),1)))</f>
        <v>1.0059999999999998</v>
      </c>
      <c r="C28" s="189">
        <f t="shared" si="0"/>
        <v>57.256461232604387</v>
      </c>
      <c r="D28" s="190">
        <f t="shared" si="1"/>
        <v>1.0059999999999998</v>
      </c>
      <c r="E28" s="189">
        <f t="array" ref="E28">1+INDEX($O$3:$R$13,MATCH(($A28+(100-$B$3*18/$B$1-10)/18*$B$1),$O$3:$O$13,1),4)+(($A28+(100-$B$3*18/$B$1-10)/18*$B$1)-INDEX($O$3:$R$13,MATCH(($A28+(100-$B$3*18/$B$1-10)/18*$B$1),$O$3:$O$13,1),1))*((INDEX($O$3:$R$13,MATCH(($A28+(100-$B$3*18/$B$1-10)/18*$B$1),$O$3:$O$13,1)+1,4)-INDEX($O$3:$R$13,MATCH(($A28+(100-$B$3*18/$B$1-10)/18*$B$1),$O$3:$O$13,1),4))/(INDEX($O$3:$R$13,MATCH(($A28+(100-$B$3*18/$B$1-10)/18*$B$1),$O$3:$O$13,1)+1,1)-INDEX($O$3:$R$13,MATCH(($A28+(100-$B$3*18/$B$1-10)/18*$B$1),$O$3:$O$13,1),1)))</f>
        <v>1.0179999999999993</v>
      </c>
      <c r="F28" s="189">
        <f t="shared" si="2"/>
        <v>56.581532416502988</v>
      </c>
      <c r="G28" s="189">
        <f t="shared" si="3"/>
        <v>1.0179999999999993</v>
      </c>
      <c r="H28" s="191">
        <f t="shared" si="4"/>
        <v>1.1928429423458731E-2</v>
      </c>
      <c r="I28" s="189">
        <f t="shared" si="5"/>
        <v>68.382206107814511</v>
      </c>
      <c r="J28" s="189">
        <f t="shared" si="6"/>
        <v>54.705764886251607</v>
      </c>
      <c r="L28" s="224">
        <v>1.0221312221049474</v>
      </c>
      <c r="M28" s="225">
        <v>56.352842721485629</v>
      </c>
      <c r="U28" s="171"/>
      <c r="W28" s="194"/>
      <c r="X28" t="s">
        <v>238</v>
      </c>
    </row>
    <row r="29" spans="1:28" ht="15.75" x14ac:dyDescent="0.25">
      <c r="A29" s="36">
        <f t="shared" si="7"/>
        <v>125.9999999999999</v>
      </c>
      <c r="B29" s="188">
        <f t="array" ref="B29">1+INDEX($O$3:$R$13,MATCH(($A29+(100-$B$3*18/$B$1-10)/18*$B$1),$O$3:$O$13,1),3)+(($A29+(100-$B$3*18/$B$1-10)/18*$B$1)-INDEX($O$3:$R$13,MATCH(($A29+(100-$B$3*18/$B$1-10)/18*$B$1),$O$3:$O$13,1),1))*((INDEX($O$3:$R$13,MATCH(($A29+(100-$B$3*18/$B$1-10)/18*$B$1),$O$3:$O$13,1)+1,3)-INDEX($O$3:$R$13,MATCH(($A29+(100-$B$3*18/$B$1-10)/18*$B$1),$O$3:$O$13,1),3))/(INDEX($O$3:$R$13,MATCH(($A29+(100-$B$3*18/$B$1-10)/18*$B$1),$O$3:$O$13,1)+1,1)-INDEX($O$3:$R$13,MATCH(($A29+(100-$B$3*18/$B$1-10)/18*$B$1),$O$3:$O$13,1),1)))</f>
        <v>1.0149999999999997</v>
      </c>
      <c r="C29" s="189">
        <f t="shared" si="0"/>
        <v>56.74876847290642</v>
      </c>
      <c r="D29" s="190">
        <f t="shared" si="1"/>
        <v>1.0149999999999997</v>
      </c>
      <c r="E29" s="189">
        <f t="array" ref="E29">1+INDEX($O$3:$R$13,MATCH(($A29+(100-$B$3*18/$B$1-10)/18*$B$1),$O$3:$O$13,1),4)+(($A29+(100-$B$3*18/$B$1-10)/18*$B$1)-INDEX($O$3:$R$13,MATCH(($A29+(100-$B$3*18/$B$1-10)/18*$B$1),$O$3:$O$13,1),1))*((INDEX($O$3:$R$13,MATCH(($A29+(100-$B$3*18/$B$1-10)/18*$B$1),$O$3:$O$13,1)+1,4)-INDEX($O$3:$R$13,MATCH(($A29+(100-$B$3*18/$B$1-10)/18*$B$1),$O$3:$O$13,1),4))/(INDEX($O$3:$R$13,MATCH(($A29+(100-$B$3*18/$B$1-10)/18*$B$1),$O$3:$O$13,1)+1,1)-INDEX($O$3:$R$13,MATCH(($A29+(100-$B$3*18/$B$1-10)/18*$B$1),$O$3:$O$13,1),1)))</f>
        <v>1.0449999999999993</v>
      </c>
      <c r="F29" s="189">
        <f t="shared" si="2"/>
        <v>55.119617224880422</v>
      </c>
      <c r="G29" s="189">
        <f t="shared" si="3"/>
        <v>1.0449999999999993</v>
      </c>
      <c r="H29" s="191">
        <f t="shared" si="4"/>
        <v>2.9556650246304939E-2</v>
      </c>
      <c r="I29" s="189">
        <f t="shared" si="5"/>
        <v>67.128568873967495</v>
      </c>
      <c r="J29" s="189">
        <f t="shared" si="6"/>
        <v>53.702855099174009</v>
      </c>
      <c r="L29" s="224">
        <v>1.0319462916243853</v>
      </c>
      <c r="M29" s="225">
        <v>55.816858365111152</v>
      </c>
      <c r="U29" s="171"/>
      <c r="W29" s="194"/>
      <c r="X29" s="194" t="s">
        <v>259</v>
      </c>
      <c r="Y29" s="194"/>
      <c r="Z29" s="194"/>
    </row>
    <row r="30" spans="1:28" ht="15.75" x14ac:dyDescent="0.25">
      <c r="A30" s="36">
        <f t="shared" si="7"/>
        <v>129.59999999999991</v>
      </c>
      <c r="B30" s="188">
        <f t="array" ref="B30">1+INDEX($O$3:$R$13,MATCH(($A30+(100-$B$3*18/$B$1-10)/18*$B$1),$O$3:$O$13,1),3)+(($A30+(100-$B$3*18/$B$1-10)/18*$B$1)-INDEX($O$3:$R$13,MATCH(($A30+(100-$B$3*18/$B$1-10)/18*$B$1),$O$3:$O$13,1),1))*((INDEX($O$3:$R$13,MATCH(($A30+(100-$B$3*18/$B$1-10)/18*$B$1),$O$3:$O$13,1)+1,3)-INDEX($O$3:$R$13,MATCH(($A30+(100-$B$3*18/$B$1-10)/18*$B$1),$O$3:$O$13,1),3))/(INDEX($O$3:$R$13,MATCH(($A30+(100-$B$3*18/$B$1-10)/18*$B$1),$O$3:$O$13,1)+1,1)-INDEX($O$3:$R$13,MATCH(($A30+(100-$B$3*18/$B$1-10)/18*$B$1),$O$3:$O$13,1),1)))</f>
        <v>1.0239999999999998</v>
      </c>
      <c r="C30" s="189">
        <f t="shared" si="0"/>
        <v>56.250000000000014</v>
      </c>
      <c r="D30" s="190">
        <f t="shared" si="1"/>
        <v>1.0239999999999998</v>
      </c>
      <c r="E30" s="189">
        <f t="array" ref="E30">1+INDEX($O$3:$R$13,MATCH(($A30+(100-$B$3*18/$B$1-10)/18*$B$1),$O$3:$O$13,1),4)+(($A30+(100-$B$3*18/$B$1-10)/18*$B$1)-INDEX($O$3:$R$13,MATCH(($A30+(100-$B$3*18/$B$1-10)/18*$B$1),$O$3:$O$13,1),1))*((INDEX($O$3:$R$13,MATCH(($A30+(100-$B$3*18/$B$1-10)/18*$B$1),$O$3:$O$13,1)+1,4)-INDEX($O$3:$R$13,MATCH(($A30+(100-$B$3*18/$B$1-10)/18*$B$1),$O$3:$O$13,1),4))/(INDEX($O$3:$R$13,MATCH(($A30+(100-$B$3*18/$B$1-10)/18*$B$1),$O$3:$O$13,1)+1,1)-INDEX($O$3:$R$13,MATCH(($A30+(100-$B$3*18/$B$1-10)/18*$B$1),$O$3:$O$13,1),1)))</f>
        <v>1.0719999999999994</v>
      </c>
      <c r="F30" s="189">
        <f t="shared" si="2"/>
        <v>53.73134328358212</v>
      </c>
      <c r="G30" s="189">
        <f t="shared" si="3"/>
        <v>1.0719999999999994</v>
      </c>
      <c r="H30" s="191">
        <f t="shared" si="4"/>
        <v>4.6874999999999556E-2</v>
      </c>
      <c r="I30" s="189">
        <f t="shared" si="5"/>
        <v>65.941143791977794</v>
      </c>
      <c r="J30" s="189">
        <f t="shared" si="6"/>
        <v>52.752915033582241</v>
      </c>
      <c r="L30" s="224">
        <v>1.0416059542597993</v>
      </c>
      <c r="M30" s="225">
        <v>55.29922305497238</v>
      </c>
      <c r="U30" s="171"/>
      <c r="W30" s="194"/>
      <c r="X30" s="170" t="s">
        <v>258</v>
      </c>
      <c r="Y30" s="194"/>
      <c r="Z30" s="194"/>
    </row>
    <row r="31" spans="1:28" ht="15.75" x14ac:dyDescent="0.25">
      <c r="A31" s="36">
        <f t="shared" si="7"/>
        <v>133.1999999999999</v>
      </c>
      <c r="B31" s="188">
        <f t="array" ref="B31">1+INDEX($O$3:$R$13,MATCH(($A31+(100-$B$3*18/$B$1-10)/18*$B$1),$O$3:$O$13,1),3)+(($A31+(100-$B$3*18/$B$1-10)/18*$B$1)-INDEX($O$3:$R$13,MATCH(($A31+(100-$B$3*18/$B$1-10)/18*$B$1),$O$3:$O$13,1),1))*((INDEX($O$3:$R$13,MATCH(($A31+(100-$B$3*18/$B$1-10)/18*$B$1),$O$3:$O$13,1)+1,3)-INDEX($O$3:$R$13,MATCH(($A31+(100-$B$3*18/$B$1-10)/18*$B$1),$O$3:$O$13,1),3))/(INDEX($O$3:$R$13,MATCH(($A31+(100-$B$3*18/$B$1-10)/18*$B$1),$O$3:$O$13,1)+1,1)-INDEX($O$3:$R$13,MATCH(($A31+(100-$B$3*18/$B$1-10)/18*$B$1),$O$3:$O$13,1),1)))</f>
        <v>1.0329999999999997</v>
      </c>
      <c r="C31" s="189">
        <f t="shared" si="0"/>
        <v>55.759922555663138</v>
      </c>
      <c r="D31" s="190">
        <f t="shared" si="1"/>
        <v>1.0329999999999997</v>
      </c>
      <c r="E31" s="189">
        <f t="array" ref="E31">1+INDEX($O$3:$R$13,MATCH(($A31+(100-$B$3*18/$B$1-10)/18*$B$1),$O$3:$O$13,1),4)+(($A31+(100-$B$3*18/$B$1-10)/18*$B$1)-INDEX($O$3:$R$13,MATCH(($A31+(100-$B$3*18/$B$1-10)/18*$B$1),$O$3:$O$13,1),1))*((INDEX($O$3:$R$13,MATCH(($A31+(100-$B$3*18/$B$1-10)/18*$B$1),$O$3:$O$13,1)+1,4)-INDEX($O$3:$R$13,MATCH(($A31+(100-$B$3*18/$B$1-10)/18*$B$1),$O$3:$O$13,1),4))/(INDEX($O$3:$R$13,MATCH(($A31+(100-$B$3*18/$B$1-10)/18*$B$1),$O$3:$O$13,1)+1,1)-INDEX($O$3:$R$13,MATCH(($A31+(100-$B$3*18/$B$1-10)/18*$B$1),$O$3:$O$13,1),1)))</f>
        <v>1.0989999999999993</v>
      </c>
      <c r="F31" s="189">
        <f t="shared" si="2"/>
        <v>52.411282984531425</v>
      </c>
      <c r="G31" s="189">
        <f t="shared" si="3"/>
        <v>1.0989999999999993</v>
      </c>
      <c r="H31" s="191">
        <f t="shared" si="4"/>
        <v>6.389157792836353E-2</v>
      </c>
      <c r="I31" s="189">
        <f t="shared" si="5"/>
        <v>64.814647270444013</v>
      </c>
      <c r="J31" s="189">
        <f t="shared" si="6"/>
        <v>51.851717816355212</v>
      </c>
      <c r="L31" s="224">
        <v>1.0510668996792625</v>
      </c>
      <c r="M31" s="225">
        <v>54.801459371974218</v>
      </c>
      <c r="U31" s="171"/>
      <c r="W31" s="170"/>
      <c r="X31" s="170"/>
      <c r="Y31" s="170"/>
      <c r="Z31" s="170"/>
    </row>
    <row r="32" spans="1:28" ht="15.75" x14ac:dyDescent="0.25">
      <c r="A32" s="36">
        <f t="shared" si="7"/>
        <v>136.7999999999999</v>
      </c>
      <c r="B32" s="188">
        <f t="array" ref="B32">1+INDEX($O$3:$R$13,MATCH(($A32+(100-$B$3*18/$B$1-10)/18*$B$1),$O$3:$O$13,1),3)+(($A32+(100-$B$3*18/$B$1-10)/18*$B$1)-INDEX($O$3:$R$13,MATCH(($A32+(100-$B$3*18/$B$1-10)/18*$B$1),$O$3:$O$13,1),1))*((INDEX($O$3:$R$13,MATCH(($A32+(100-$B$3*18/$B$1-10)/18*$B$1),$O$3:$O$13,1)+1,3)-INDEX($O$3:$R$13,MATCH(($A32+(100-$B$3*18/$B$1-10)/18*$B$1),$O$3:$O$13,1),3))/(INDEX($O$3:$R$13,MATCH(($A32+(100-$B$3*18/$B$1-10)/18*$B$1),$O$3:$O$13,1)+1,1)-INDEX($O$3:$R$13,MATCH(($A32+(100-$B$3*18/$B$1-10)/18*$B$1),$O$3:$O$13,1),1)))</f>
        <v>1.0419999999999998</v>
      </c>
      <c r="C32" s="189">
        <f t="shared" si="0"/>
        <v>55.278310940499054</v>
      </c>
      <c r="D32" s="190">
        <f t="shared" si="1"/>
        <v>1.0419999999999998</v>
      </c>
      <c r="E32" s="189">
        <f t="array" ref="E32">1+INDEX($O$3:$R$13,MATCH(($A32+(100-$B$3*18/$B$1-10)/18*$B$1),$O$3:$O$13,1),4)+(($A32+(100-$B$3*18/$B$1-10)/18*$B$1)-INDEX($O$3:$R$13,MATCH(($A32+(100-$B$3*18/$B$1-10)/18*$B$1),$O$3:$O$13,1),1))*((INDEX($O$3:$R$13,MATCH(($A32+(100-$B$3*18/$B$1-10)/18*$B$1),$O$3:$O$13,1)+1,4)-INDEX($O$3:$R$13,MATCH(($A32+(100-$B$3*18/$B$1-10)/18*$B$1),$O$3:$O$13,1),4))/(INDEX($O$3:$R$13,MATCH(($A32+(100-$B$3*18/$B$1-10)/18*$B$1),$O$3:$O$13,1)+1,1)-INDEX($O$3:$R$13,MATCH(($A32+(100-$B$3*18/$B$1-10)/18*$B$1),$O$3:$O$13,1),1)))</f>
        <v>1.1259999999999992</v>
      </c>
      <c r="F32" s="189">
        <f t="shared" si="2"/>
        <v>51.154529307282452</v>
      </c>
      <c r="G32" s="189">
        <f t="shared" si="3"/>
        <v>1.1259999999999992</v>
      </c>
      <c r="H32" s="191">
        <f t="shared" si="4"/>
        <v>8.0614203454893785E-2</v>
      </c>
      <c r="I32" s="189">
        <f t="shared" si="5"/>
        <v>63.744348346744104</v>
      </c>
      <c r="J32" s="189">
        <f t="shared" si="6"/>
        <v>50.995478677395297</v>
      </c>
      <c r="L32" s="224">
        <v>1.0602895157829075</v>
      </c>
      <c r="M32" s="225">
        <v>54.324785016353502</v>
      </c>
      <c r="U32" s="171"/>
      <c r="W32" s="170"/>
      <c r="X32" s="178" t="s">
        <v>273</v>
      </c>
      <c r="Y32" s="179"/>
      <c r="Z32" s="179"/>
      <c r="AB32" t="s">
        <v>98</v>
      </c>
    </row>
    <row r="33" spans="1:29" ht="15.75" x14ac:dyDescent="0.25">
      <c r="A33" s="36">
        <f t="shared" si="7"/>
        <v>140.39999999999989</v>
      </c>
      <c r="B33" s="188">
        <f t="array" ref="B33">1+INDEX($O$3:$R$13,MATCH(($A33+(100-$B$3*18/$B$1-10)/18*$B$1),$O$3:$O$13,1),3)+(($A33+(100-$B$3*18/$B$1-10)/18*$B$1)-INDEX($O$3:$R$13,MATCH(($A33+(100-$B$3*18/$B$1-10)/18*$B$1),$O$3:$O$13,1),1))*((INDEX($O$3:$R$13,MATCH(($A33+(100-$B$3*18/$B$1-10)/18*$B$1),$O$3:$O$13,1)+1,3)-INDEX($O$3:$R$13,MATCH(($A33+(100-$B$3*18/$B$1-10)/18*$B$1),$O$3:$O$13,1),3))/(INDEX($O$3:$R$13,MATCH(($A33+(100-$B$3*18/$B$1-10)/18*$B$1),$O$3:$O$13,1)+1,1)-INDEX($O$3:$R$13,MATCH(($A33+(100-$B$3*18/$B$1-10)/18*$B$1),$O$3:$O$13,1),1)))</f>
        <v>1.0509999999999997</v>
      </c>
      <c r="C33" s="189">
        <f t="shared" si="0"/>
        <v>54.80494766888679</v>
      </c>
      <c r="D33" s="190">
        <f t="shared" si="1"/>
        <v>1.0509999999999997</v>
      </c>
      <c r="E33" s="189">
        <f t="array" ref="E33">1+INDEX($O$3:$R$13,MATCH(($A33+(100-$B$3*18/$B$1-10)/18*$B$1),$O$3:$O$13,1),4)+(($A33+(100-$B$3*18/$B$1-10)/18*$B$1)-INDEX($O$3:$R$13,MATCH(($A33+(100-$B$3*18/$B$1-10)/18*$B$1),$O$3:$O$13,1),1))*((INDEX($O$3:$R$13,MATCH(($A33+(100-$B$3*18/$B$1-10)/18*$B$1),$O$3:$O$13,1)+1,4)-INDEX($O$3:$R$13,MATCH(($A33+(100-$B$3*18/$B$1-10)/18*$B$1),$O$3:$O$13,1),4))/(INDEX($O$3:$R$13,MATCH(($A33+(100-$B$3*18/$B$1-10)/18*$B$1),$O$3:$O$13,1)+1,1)-INDEX($O$3:$R$13,MATCH(($A33+(100-$B$3*18/$B$1-10)/18*$B$1),$O$3:$O$13,1),1)))</f>
        <v>1.1529999999999991</v>
      </c>
      <c r="F33" s="189">
        <f t="shared" si="2"/>
        <v>49.95663486556812</v>
      </c>
      <c r="G33" s="189">
        <f t="shared" si="3"/>
        <v>1.1529999999999991</v>
      </c>
      <c r="H33" s="191">
        <f t="shared" si="4"/>
        <v>9.7050428163653057E-2</v>
      </c>
      <c r="I33" s="189">
        <f t="shared" si="5"/>
        <v>62.725998041668831</v>
      </c>
      <c r="J33" s="189">
        <f t="shared" si="6"/>
        <v>50.180798433335063</v>
      </c>
      <c r="L33" s="224">
        <v>1.0692384710888927</v>
      </c>
      <c r="M33" s="225">
        <v>53.870115561163104</v>
      </c>
      <c r="U33" s="171"/>
      <c r="W33" s="170"/>
      <c r="X33" t="s">
        <v>274</v>
      </c>
    </row>
    <row r="34" spans="1:29" ht="15.75" x14ac:dyDescent="0.25">
      <c r="A34" s="36">
        <f t="shared" si="7"/>
        <v>143.99999999999989</v>
      </c>
      <c r="B34" s="188">
        <f t="array" ref="B34">1+INDEX($O$3:$R$13,MATCH(($A34+(100-$B$3*18/$B$1-10)/18*$B$1),$O$3:$O$13,1),3)+(($A34+(100-$B$3*18/$B$1-10)/18*$B$1)-INDEX($O$3:$R$13,MATCH(($A34+(100-$B$3*18/$B$1-10)/18*$B$1),$O$3:$O$13,1),1))*((INDEX($O$3:$R$13,MATCH(($A34+(100-$B$3*18/$B$1-10)/18*$B$1),$O$3:$O$13,1)+1,3)-INDEX($O$3:$R$13,MATCH(($A34+(100-$B$3*18/$B$1-10)/18*$B$1),$O$3:$O$13,1),3))/(INDEX($O$3:$R$13,MATCH(($A34+(100-$B$3*18/$B$1-10)/18*$B$1),$O$3:$O$13,1)+1,1)-INDEX($O$3:$R$13,MATCH(($A34+(100-$B$3*18/$B$1-10)/18*$B$1),$O$3:$O$13,1),1)))</f>
        <v>1.0599999999999996</v>
      </c>
      <c r="C34" s="189">
        <f t="shared" si="0"/>
        <v>54.339622641509457</v>
      </c>
      <c r="D34" s="190">
        <f t="shared" si="1"/>
        <v>1.0599999999999996</v>
      </c>
      <c r="E34" s="189">
        <f t="array" ref="E34">1+INDEX($O$3:$R$13,MATCH(($A34+(100-$B$3*18/$B$1-10)/18*$B$1),$O$3:$O$13,1),4)+(($A34+(100-$B$3*18/$B$1-10)/18*$B$1)-INDEX($O$3:$R$13,MATCH(($A34+(100-$B$3*18/$B$1-10)/18*$B$1),$O$3:$O$13,1),1))*((INDEX($O$3:$R$13,MATCH(($A34+(100-$B$3*18/$B$1-10)/18*$B$1),$O$3:$O$13,1)+1,4)-INDEX($O$3:$R$13,MATCH(($A34+(100-$B$3*18/$B$1-10)/18*$B$1),$O$3:$O$13,1),4))/(INDEX($O$3:$R$13,MATCH(($A34+(100-$B$3*18/$B$1-10)/18*$B$1),$O$3:$O$13,1)+1,1)-INDEX($O$3:$R$13,MATCH(($A34+(100-$B$3*18/$B$1-10)/18*$B$1),$O$3:$O$13,1),1)))</f>
        <v>1.179999999999999</v>
      </c>
      <c r="F34" s="189">
        <f t="shared" si="2"/>
        <v>48.813559322033939</v>
      </c>
      <c r="G34" s="189">
        <f t="shared" si="3"/>
        <v>1.179999999999999</v>
      </c>
      <c r="H34" s="191">
        <f t="shared" si="4"/>
        <v>0.11320754716981085</v>
      </c>
      <c r="I34" s="189">
        <f t="shared" si="5"/>
        <v>61.75576929587168</v>
      </c>
      <c r="J34" s="189">
        <f t="shared" si="6"/>
        <v>49.404615436697355</v>
      </c>
      <c r="L34" s="224">
        <v>1.0778831409961229</v>
      </c>
      <c r="M34" s="225">
        <v>53.438074879591412</v>
      </c>
      <c r="U34" s="171"/>
      <c r="W34" s="170"/>
    </row>
    <row r="35" spans="1:29" ht="15.75" x14ac:dyDescent="0.25">
      <c r="A35" s="36">
        <f t="shared" si="7"/>
        <v>147.59999999999988</v>
      </c>
      <c r="B35" s="188">
        <f t="array" ref="B35">1+INDEX($O$3:$R$13,MATCH(($A35+(100-$B$3*18/$B$1-10)/18*$B$1),$O$3:$O$13,1),3)+(($A35+(100-$B$3*18/$B$1-10)/18*$B$1)-INDEX($O$3:$R$13,MATCH(($A35+(100-$B$3*18/$B$1-10)/18*$B$1),$O$3:$O$13,1),1))*((INDEX($O$3:$R$13,MATCH(($A35+(100-$B$3*18/$B$1-10)/18*$B$1),$O$3:$O$13,1)+1,3)-INDEX($O$3:$R$13,MATCH(($A35+(100-$B$3*18/$B$1-10)/18*$B$1),$O$3:$O$13,1),3))/(INDEX($O$3:$R$13,MATCH(($A35+(100-$B$3*18/$B$1-10)/18*$B$1),$O$3:$O$13,1)+1,1)-INDEX($O$3:$R$13,MATCH(($A35+(100-$B$3*18/$B$1-10)/18*$B$1),$O$3:$O$13,1),1)))</f>
        <v>1.0689999999999997</v>
      </c>
      <c r="C35" s="189">
        <f t="shared" si="0"/>
        <v>53.882132834424709</v>
      </c>
      <c r="D35" s="190">
        <f t="shared" si="1"/>
        <v>1.0689999999999997</v>
      </c>
      <c r="E35" s="189">
        <f t="array" ref="E35">1+INDEX($O$3:$R$13,MATCH(($A35+(100-$B$3*18/$B$1-10)/18*$B$1),$O$3:$O$13,1),4)+(($A35+(100-$B$3*18/$B$1-10)/18*$B$1)-INDEX($O$3:$R$13,MATCH(($A35+(100-$B$3*18/$B$1-10)/18*$B$1),$O$3:$O$13,1),1))*((INDEX($O$3:$R$13,MATCH(($A35+(100-$B$3*18/$B$1-10)/18*$B$1),$O$3:$O$13,1)+1,4)-INDEX($O$3:$R$13,MATCH(($A35+(100-$B$3*18/$B$1-10)/18*$B$1),$O$3:$O$13,1),4))/(INDEX($O$3:$R$13,MATCH(($A35+(100-$B$3*18/$B$1-10)/18*$B$1),$O$3:$O$13,1)+1,1)-INDEX($O$3:$R$13,MATCH(($A35+(100-$B$3*18/$B$1-10)/18*$B$1),$O$3:$O$13,1),1)))</f>
        <v>1.2069999999999992</v>
      </c>
      <c r="F35" s="189">
        <f t="shared" si="2"/>
        <v>47.721623860811967</v>
      </c>
      <c r="G35" s="189">
        <f t="shared" si="3"/>
        <v>1.2069999999999992</v>
      </c>
      <c r="H35" s="191">
        <f t="shared" si="4"/>
        <v>0.12909260991580873</v>
      </c>
      <c r="I35" s="189">
        <f t="shared" si="5"/>
        <v>60.830205682806607</v>
      </c>
      <c r="J35" s="189">
        <f t="shared" si="6"/>
        <v>48.664164546245289</v>
      </c>
      <c r="L35" s="224">
        <v>1.0861978729345578</v>
      </c>
      <c r="M35" s="225">
        <v>53.029011964811993</v>
      </c>
      <c r="U35" s="171"/>
      <c r="W35" s="170"/>
      <c r="X35" s="29" t="s">
        <v>261</v>
      </c>
      <c r="Z35" s="116"/>
      <c r="AA35" s="116"/>
    </row>
    <row r="36" spans="1:29" ht="15.75" x14ac:dyDescent="0.25">
      <c r="A36" s="36">
        <f t="shared" si="7"/>
        <v>151.19999999999987</v>
      </c>
      <c r="B36" s="188">
        <f t="array" ref="B36">1+INDEX($O$3:$R$13,MATCH(($A36+(100-$B$3*18/$B$1-10)/18*$B$1),$O$3:$O$13,1),3)+(($A36+(100-$B$3*18/$B$1-10)/18*$B$1)-INDEX($O$3:$R$13,MATCH(($A36+(100-$B$3*18/$B$1-10)/18*$B$1),$O$3:$O$13,1),1))*((INDEX($O$3:$R$13,MATCH(($A36+(100-$B$3*18/$B$1-10)/18*$B$1),$O$3:$O$13,1)+1,3)-INDEX($O$3:$R$13,MATCH(($A36+(100-$B$3*18/$B$1-10)/18*$B$1),$O$3:$O$13,1),3))/(INDEX($O$3:$R$13,MATCH(($A36+(100-$B$3*18/$B$1-10)/18*$B$1),$O$3:$O$13,1)+1,1)-INDEX($O$3:$R$13,MATCH(($A36+(100-$B$3*18/$B$1-10)/18*$B$1),$O$3:$O$13,1),1)))</f>
        <v>1.0779999999999996</v>
      </c>
      <c r="C36" s="189">
        <f t="shared" si="0"/>
        <v>53.432282003710597</v>
      </c>
      <c r="D36" s="190">
        <f t="shared" si="1"/>
        <v>1.0779999999999996</v>
      </c>
      <c r="E36" s="189">
        <f t="array" ref="E36">1+INDEX($O$3:$R$13,MATCH(($A36+(100-$B$3*18/$B$1-10)/18*$B$1),$O$3:$O$13,1),4)+(($A36+(100-$B$3*18/$B$1-10)/18*$B$1)-INDEX($O$3:$R$13,MATCH(($A36+(100-$B$3*18/$B$1-10)/18*$B$1),$O$3:$O$13,1),1))*((INDEX($O$3:$R$13,MATCH(($A36+(100-$B$3*18/$B$1-10)/18*$B$1),$O$3:$O$13,1)+1,4)-INDEX($O$3:$R$13,MATCH(($A36+(100-$B$3*18/$B$1-10)/18*$B$1),$O$3:$O$13,1),4))/(INDEX($O$3:$R$13,MATCH(($A36+(100-$B$3*18/$B$1-10)/18*$B$1),$O$3:$O$13,1)+1,1)-INDEX($O$3:$R$13,MATCH(($A36+(100-$B$3*18/$B$1-10)/18*$B$1),$O$3:$O$13,1),1)))</f>
        <v>1.2339999999999991</v>
      </c>
      <c r="F36" s="189">
        <f t="shared" si="2"/>
        <v>46.677471636953037</v>
      </c>
      <c r="G36" s="189">
        <f t="shared" si="3"/>
        <v>1.2339999999999991</v>
      </c>
      <c r="H36" s="191">
        <f t="shared" si="4"/>
        <v>0.14471243042671578</v>
      </c>
      <c r="I36" s="189">
        <f t="shared" si="5"/>
        <v>59.946177436561463</v>
      </c>
      <c r="J36" s="189">
        <f t="shared" si="6"/>
        <v>47.956941949249185</v>
      </c>
      <c r="L36" s="224">
        <v>1.0941620941331034</v>
      </c>
      <c r="M36" s="225">
        <v>52.643022737536945</v>
      </c>
      <c r="U36" s="171"/>
      <c r="W36" s="170"/>
      <c r="X36" t="s">
        <v>236</v>
      </c>
    </row>
    <row r="37" spans="1:29" ht="15.75" x14ac:dyDescent="0.25">
      <c r="A37" s="36">
        <f t="shared" si="7"/>
        <v>154.79999999999987</v>
      </c>
      <c r="B37" s="188">
        <f t="array" ref="B37">1+INDEX($O$3:$R$13,MATCH(($A37+(100-$B$3*18/$B$1-10)/18*$B$1),$O$3:$O$13,1),3)+(($A37+(100-$B$3*18/$B$1-10)/18*$B$1)-INDEX($O$3:$R$13,MATCH(($A37+(100-$B$3*18/$B$1-10)/18*$B$1),$O$3:$O$13,1),1))*((INDEX($O$3:$R$13,MATCH(($A37+(100-$B$3*18/$B$1-10)/18*$B$1),$O$3:$O$13,1)+1,3)-INDEX($O$3:$R$13,MATCH(($A37+(100-$B$3*18/$B$1-10)/18*$B$1),$O$3:$O$13,1),3))/(INDEX($O$3:$R$13,MATCH(($A37+(100-$B$3*18/$B$1-10)/18*$B$1),$O$3:$O$13,1)+1,1)-INDEX($O$3:$R$13,MATCH(($A37+(100-$B$3*18/$B$1-10)/18*$B$1),$O$3:$O$13,1),1)))</f>
        <v>1.0869999999999997</v>
      </c>
      <c r="C37" s="189">
        <f t="shared" si="0"/>
        <v>52.989880404783825</v>
      </c>
      <c r="D37" s="190">
        <f t="shared" si="1"/>
        <v>1.0869999999999997</v>
      </c>
      <c r="E37" s="189">
        <f t="array" ref="E37">1+INDEX($O$3:$R$13,MATCH(($A37+(100-$B$3*18/$B$1-10)/18*$B$1),$O$3:$O$13,1),4)+(($A37+(100-$B$3*18/$B$1-10)/18*$B$1)-INDEX($O$3:$R$13,MATCH(($A37+(100-$B$3*18/$B$1-10)/18*$B$1),$O$3:$O$13,1),1))*((INDEX($O$3:$R$13,MATCH(($A37+(100-$B$3*18/$B$1-10)/18*$B$1),$O$3:$O$13,1)+1,4)-INDEX($O$3:$R$13,MATCH(($A37+(100-$B$3*18/$B$1-10)/18*$B$1),$O$3:$O$13,1),4))/(INDEX($O$3:$R$13,MATCH(($A37+(100-$B$3*18/$B$1-10)/18*$B$1),$O$3:$O$13,1)+1,1)-INDEX($O$3:$R$13,MATCH(($A37+(100-$B$3*18/$B$1-10)/18*$B$1),$O$3:$O$13,1),1)))</f>
        <v>1.260999999999999</v>
      </c>
      <c r="F37" s="189">
        <f t="shared" si="2"/>
        <v>45.678033306899323</v>
      </c>
      <c r="G37" s="189">
        <f t="shared" si="3"/>
        <v>1.260999999999999</v>
      </c>
      <c r="H37" s="191">
        <f t="shared" si="4"/>
        <v>0.16007359705611712</v>
      </c>
      <c r="I37" s="189">
        <f t="shared" si="5"/>
        <v>59.10084360480213</v>
      </c>
      <c r="J37" s="189">
        <f t="shared" si="6"/>
        <v>47.280674883841705</v>
      </c>
      <c r="L37" s="224">
        <v>1.1017602732646723</v>
      </c>
      <c r="M37" s="225">
        <v>52.279975415453137</v>
      </c>
      <c r="U37" s="171"/>
      <c r="W37" s="170"/>
      <c r="X37" t="s">
        <v>237</v>
      </c>
    </row>
    <row r="38" spans="1:29" ht="15.75" x14ac:dyDescent="0.25">
      <c r="A38" s="36">
        <f t="shared" si="7"/>
        <v>158.39999999999986</v>
      </c>
      <c r="B38" s="188">
        <f t="array" ref="B38">1+INDEX($O$3:$R$13,MATCH(($A38+(100-$B$3*18/$B$1-10)/18*$B$1),$O$3:$O$13,1),3)+(($A38+(100-$B$3*18/$B$1-10)/18*$B$1)-INDEX($O$3:$R$13,MATCH(($A38+(100-$B$3*18/$B$1-10)/18*$B$1),$O$3:$O$13,1),1))*((INDEX($O$3:$R$13,MATCH(($A38+(100-$B$3*18/$B$1-10)/18*$B$1),$O$3:$O$13,1)+1,3)-INDEX($O$3:$R$13,MATCH(($A38+(100-$B$3*18/$B$1-10)/18*$B$1),$O$3:$O$13,1),3))/(INDEX($O$3:$R$13,MATCH(($A38+(100-$B$3*18/$B$1-10)/18*$B$1),$O$3:$O$13,1)+1,1)-INDEX($O$3:$R$13,MATCH(($A38+(100-$B$3*18/$B$1-10)/18*$B$1),$O$3:$O$13,1),1)))</f>
        <v>1.0959999999999996</v>
      </c>
      <c r="C38" s="189">
        <f t="shared" si="0"/>
        <v>52.554744525547463</v>
      </c>
      <c r="D38" s="190">
        <f t="shared" si="1"/>
        <v>1.0959999999999996</v>
      </c>
      <c r="E38" s="189">
        <f t="array" ref="E38">1+INDEX($O$3:$R$13,MATCH(($A38+(100-$B$3*18/$B$1-10)/18*$B$1),$O$3:$O$13,1),4)+(($A38+(100-$B$3*18/$B$1-10)/18*$B$1)-INDEX($O$3:$R$13,MATCH(($A38+(100-$B$3*18/$B$1-10)/18*$B$1),$O$3:$O$13,1),1))*((INDEX($O$3:$R$13,MATCH(($A38+(100-$B$3*18/$B$1-10)/18*$B$1),$O$3:$O$13,1)+1,4)-INDEX($O$3:$R$13,MATCH(($A38+(100-$B$3*18/$B$1-10)/18*$B$1),$O$3:$O$13,1),4))/(INDEX($O$3:$R$13,MATCH(($A38+(100-$B$3*18/$B$1-10)/18*$B$1),$O$3:$O$13,1)+1,1)-INDEX($O$3:$R$13,MATCH(($A38+(100-$B$3*18/$B$1-10)/18*$B$1),$O$3:$O$13,1),1)))</f>
        <v>1.2879999999999989</v>
      </c>
      <c r="F38" s="189">
        <f t="shared" si="2"/>
        <v>44.720496894409976</v>
      </c>
      <c r="G38" s="189">
        <f t="shared" si="3"/>
        <v>1.2879999999999989</v>
      </c>
      <c r="H38" s="191">
        <f t="shared" si="4"/>
        <v>0.17518248175182416</v>
      </c>
      <c r="I38" s="189">
        <f t="shared" si="5"/>
        <v>58.291619353265872</v>
      </c>
      <c r="J38" s="189">
        <f t="shared" si="6"/>
        <v>46.633295482612695</v>
      </c>
      <c r="L38" s="224">
        <v>1.1089817531228734</v>
      </c>
      <c r="M38" s="225">
        <v>51.939538083290728</v>
      </c>
      <c r="U38" s="171"/>
      <c r="W38" s="170"/>
      <c r="X38" t="s">
        <v>238</v>
      </c>
    </row>
    <row r="39" spans="1:29" ht="15.75" x14ac:dyDescent="0.25">
      <c r="A39" s="36">
        <f t="shared" si="7"/>
        <v>161.99999999999986</v>
      </c>
      <c r="B39" s="188">
        <f t="array" ref="B39">1+INDEX($O$3:$R$13,MATCH(($A39+(100-$B$3*18/$B$1-10)/18*$B$1),$O$3:$O$13,1),3)+(($A39+(100-$B$3*18/$B$1-10)/18*$B$1)-INDEX($O$3:$R$13,MATCH(($A39+(100-$B$3*18/$B$1-10)/18*$B$1),$O$3:$O$13,1),1))*((INDEX($O$3:$R$13,MATCH(($A39+(100-$B$3*18/$B$1-10)/18*$B$1),$O$3:$O$13,1)+1,3)-INDEX($O$3:$R$13,MATCH(($A39+(100-$B$3*18/$B$1-10)/18*$B$1),$O$3:$O$13,1),3))/(INDEX($O$3:$R$13,MATCH(($A39+(100-$B$3*18/$B$1-10)/18*$B$1),$O$3:$O$13,1)+1,1)-INDEX($O$3:$R$13,MATCH(($A39+(100-$B$3*18/$B$1-10)/18*$B$1),$O$3:$O$13,1),1)))</f>
        <v>1.1026666666666665</v>
      </c>
      <c r="C39" s="189">
        <f t="shared" si="0"/>
        <v>52.237001209189856</v>
      </c>
      <c r="D39" s="190">
        <f t="shared" si="1"/>
        <v>1.1026666666666665</v>
      </c>
      <c r="E39" s="189">
        <f t="array" ref="E39">1+INDEX($O$3:$R$13,MATCH(($A39+(100-$B$3*18/$B$1-10)/18*$B$1),$O$3:$O$13,1),4)+(($A39+(100-$B$3*18/$B$1-10)/18*$B$1)-INDEX($O$3:$R$13,MATCH(($A39+(100-$B$3*18/$B$1-10)/18*$B$1),$O$3:$O$13,1),1))*((INDEX($O$3:$R$13,MATCH(($A39+(100-$B$3*18/$B$1-10)/18*$B$1),$O$3:$O$13,1)+1,4)-INDEX($O$3:$R$13,MATCH(($A39+(100-$B$3*18/$B$1-10)/18*$B$1),$O$3:$O$13,1),4))/(INDEX($O$3:$R$13,MATCH(($A39+(100-$B$3*18/$B$1-10)/18*$B$1),$O$3:$O$13,1)+1,1)-INDEX($O$3:$R$13,MATCH(($A39+(100-$B$3*18/$B$1-10)/18*$B$1),$O$3:$O$13,1),1)))</f>
        <v>1.3079999999999994</v>
      </c>
      <c r="F39" s="189">
        <f t="shared" si="2"/>
        <v>44.036697247706442</v>
      </c>
      <c r="G39" s="189">
        <f t="shared" si="3"/>
        <v>1.3079999999999994</v>
      </c>
      <c r="H39" s="191">
        <f t="shared" si="4"/>
        <v>0.18621523579201904</v>
      </c>
      <c r="I39" s="189">
        <f t="shared" si="5"/>
        <v>57.516147621233159</v>
      </c>
      <c r="J39" s="189">
        <f t="shared" si="6"/>
        <v>46.012918096986532</v>
      </c>
      <c r="L39" s="224">
        <v>1.115820475519723</v>
      </c>
      <c r="M39" s="225">
        <v>51.621207231540787</v>
      </c>
      <c r="U39" s="171"/>
      <c r="W39" s="170"/>
      <c r="X39" t="s">
        <v>239</v>
      </c>
    </row>
    <row r="40" spans="1:29" ht="15.75" x14ac:dyDescent="0.25">
      <c r="A40" s="36">
        <f t="shared" si="7"/>
        <v>165.59999999999985</v>
      </c>
      <c r="B40" s="188">
        <f t="array" ref="B40">1+INDEX($O$3:$R$13,MATCH(($A40+(100-$B$3*18/$B$1-10)/18*$B$1),$O$3:$O$13,1),3)+(($A40+(100-$B$3*18/$B$1-10)/18*$B$1)-INDEX($O$3:$R$13,MATCH(($A40+(100-$B$3*18/$B$1-10)/18*$B$1),$O$3:$O$13,1),1))*((INDEX($O$3:$R$13,MATCH(($A40+(100-$B$3*18/$B$1-10)/18*$B$1),$O$3:$O$13,1)+1,3)-INDEX($O$3:$R$13,MATCH(($A40+(100-$B$3*18/$B$1-10)/18*$B$1),$O$3:$O$13,1),3))/(INDEX($O$3:$R$13,MATCH(($A40+(100-$B$3*18/$B$1-10)/18*$B$1),$O$3:$O$13,1)+1,1)-INDEX($O$3:$R$13,MATCH(($A40+(100-$B$3*18/$B$1-10)/18*$B$1),$O$3:$O$13,1),1)))</f>
        <v>1.1074666666666666</v>
      </c>
      <c r="C40" s="189">
        <f t="shared" ref="C40:C71" si="8">$B$2/B40</f>
        <v>52.010594750782573</v>
      </c>
      <c r="D40" s="190">
        <f t="shared" ref="D40:D71" si="9">$B$2*$B$4/C40</f>
        <v>1.1074666666666666</v>
      </c>
      <c r="E40" s="189">
        <f t="array" ref="E40">1+INDEX($O$3:$R$13,MATCH(($A40+(100-$B$3*18/$B$1-10)/18*$B$1),$O$3:$O$13,1),4)+(($A40+(100-$B$3*18/$B$1-10)/18*$B$1)-INDEX($O$3:$R$13,MATCH(($A40+(100-$B$3*18/$B$1-10)/18*$B$1),$O$3:$O$13,1),1))*((INDEX($O$3:$R$13,MATCH(($A40+(100-$B$3*18/$B$1-10)/18*$B$1),$O$3:$O$13,1)+1,4)-INDEX($O$3:$R$13,MATCH(($A40+(100-$B$3*18/$B$1-10)/18*$B$1),$O$3:$O$13,1),4))/(INDEX($O$3:$R$13,MATCH(($A40+(100-$B$3*18/$B$1-10)/18*$B$1),$O$3:$O$13,1)+1,1)-INDEX($O$3:$R$13,MATCH(($A40+(100-$B$3*18/$B$1-10)/18*$B$1),$O$3:$O$13,1),1)))</f>
        <v>1.3223999999999994</v>
      </c>
      <c r="F40" s="189">
        <f t="shared" ref="F40:F71" si="10">$B$2/E40</f>
        <v>43.557168784029059</v>
      </c>
      <c r="G40" s="189">
        <f t="shared" ref="G40:G71" si="11">$B$2*$B$4/F40</f>
        <v>1.3223999999999994</v>
      </c>
      <c r="H40" s="191">
        <f t="shared" ref="H40:H71" si="12">G40/D40-1</f>
        <v>0.1940765711533825</v>
      </c>
      <c r="I40" s="189">
        <f t="shared" ref="I40:I71" si="13">1800/(($J$2+$J$3 +$J$4)/3*$J$6*LN($A40*18/$B$1/(120-$J$5)+1))/18*$B$1</f>
        <v>56.772274466561171</v>
      </c>
      <c r="J40" s="189">
        <f t="shared" ref="J40:J71" si="14">1800/(($K$2+$K$3 +$K$4)/3*$K$6*LN($A40*18/$B$1/(120-$K$5)+1))/18*$B$1</f>
        <v>45.417819573248948</v>
      </c>
      <c r="L40" s="224">
        <v>1.1222746217519004</v>
      </c>
      <c r="M40" s="225">
        <v>51.32433620398978</v>
      </c>
      <c r="U40" s="171"/>
      <c r="W40" s="170"/>
      <c r="X40" t="s">
        <v>240</v>
      </c>
    </row>
    <row r="41" spans="1:29" ht="15.75" x14ac:dyDescent="0.25">
      <c r="A41" s="36">
        <f t="shared" ref="A41:A77" si="15">A40+0.2*$B$1</f>
        <v>169.19999999999985</v>
      </c>
      <c r="B41" s="188">
        <f t="array" ref="B41">1+INDEX($O$3:$R$13,MATCH(($A41+(100-$B$3*18/$B$1-10)/18*$B$1),$O$3:$O$13,1),3)+(($A41+(100-$B$3*18/$B$1-10)/18*$B$1)-INDEX($O$3:$R$13,MATCH(($A41+(100-$B$3*18/$B$1-10)/18*$B$1),$O$3:$O$13,1),1))*((INDEX($O$3:$R$13,MATCH(($A41+(100-$B$3*18/$B$1-10)/18*$B$1),$O$3:$O$13,1)+1,3)-INDEX($O$3:$R$13,MATCH(($A41+(100-$B$3*18/$B$1-10)/18*$B$1),$O$3:$O$13,1),3))/(INDEX($O$3:$R$13,MATCH(($A41+(100-$B$3*18/$B$1-10)/18*$B$1),$O$3:$O$13,1)+1,1)-INDEX($O$3:$R$13,MATCH(($A41+(100-$B$3*18/$B$1-10)/18*$B$1),$O$3:$O$13,1),1)))</f>
        <v>1.1122666666666665</v>
      </c>
      <c r="C41" s="189">
        <f t="shared" si="8"/>
        <v>51.786142411891639</v>
      </c>
      <c r="D41" s="190">
        <f t="shared" si="9"/>
        <v>1.1122666666666665</v>
      </c>
      <c r="E41" s="189">
        <f t="array" ref="E41">1+INDEX($O$3:$R$13,MATCH(($A41+(100-$B$3*18/$B$1-10)/18*$B$1),$O$3:$O$13,1),4)+(($A41+(100-$B$3*18/$B$1-10)/18*$B$1)-INDEX($O$3:$R$13,MATCH(($A41+(100-$B$3*18/$B$1-10)/18*$B$1),$O$3:$O$13,1),1))*((INDEX($O$3:$R$13,MATCH(($A41+(100-$B$3*18/$B$1-10)/18*$B$1),$O$3:$O$13,1)+1,4)-INDEX($O$3:$R$13,MATCH(($A41+(100-$B$3*18/$B$1-10)/18*$B$1),$O$3:$O$13,1),4))/(INDEX($O$3:$R$13,MATCH(($A41+(100-$B$3*18/$B$1-10)/18*$B$1),$O$3:$O$13,1)+1,1)-INDEX($O$3:$R$13,MATCH(($A41+(100-$B$3*18/$B$1-10)/18*$B$1),$O$3:$O$13,1),1)))</f>
        <v>1.3367999999999993</v>
      </c>
      <c r="F41" s="189">
        <f t="shared" si="10"/>
        <v>43.087971274685842</v>
      </c>
      <c r="G41" s="189">
        <f t="shared" si="11"/>
        <v>1.3367999999999993</v>
      </c>
      <c r="H41" s="191">
        <f t="shared" si="12"/>
        <v>0.20187005514265111</v>
      </c>
      <c r="I41" s="189">
        <f t="shared" si="13"/>
        <v>56.058027551378174</v>
      </c>
      <c r="J41" s="189">
        <f t="shared" si="14"/>
        <v>44.846422041102542</v>
      </c>
      <c r="L41" s="224">
        <v>1.1283461924198903</v>
      </c>
      <c r="M41" s="225">
        <v>51.048162688854426</v>
      </c>
      <c r="U41" s="171"/>
      <c r="W41" s="170"/>
      <c r="X41" s="170" t="s">
        <v>241</v>
      </c>
      <c r="Y41" s="170"/>
    </row>
    <row r="42" spans="1:29" ht="15.75" x14ac:dyDescent="0.25">
      <c r="A42" s="36">
        <f t="shared" si="15"/>
        <v>172.79999999999984</v>
      </c>
      <c r="B42" s="188">
        <f t="array" ref="B42">1+INDEX($O$3:$R$13,MATCH(($A42+(100-$B$3*18/$B$1-10)/18*$B$1),$O$3:$O$13,1),3)+(($A42+(100-$B$3*18/$B$1-10)/18*$B$1)-INDEX($O$3:$R$13,MATCH(($A42+(100-$B$3*18/$B$1-10)/18*$B$1),$O$3:$O$13,1),1))*((INDEX($O$3:$R$13,MATCH(($A42+(100-$B$3*18/$B$1-10)/18*$B$1),$O$3:$O$13,1)+1,3)-INDEX($O$3:$R$13,MATCH(($A42+(100-$B$3*18/$B$1-10)/18*$B$1),$O$3:$O$13,1),3))/(INDEX($O$3:$R$13,MATCH(($A42+(100-$B$3*18/$B$1-10)/18*$B$1),$O$3:$O$13,1)+1,1)-INDEX($O$3:$R$13,MATCH(($A42+(100-$B$3*18/$B$1-10)/18*$B$1),$O$3:$O$13,1),1)))</f>
        <v>1.1170666666666664</v>
      </c>
      <c r="C42" s="189">
        <f t="shared" si="8"/>
        <v>51.563619002148499</v>
      </c>
      <c r="D42" s="190">
        <f t="shared" si="9"/>
        <v>1.1170666666666664</v>
      </c>
      <c r="E42" s="189">
        <f t="array" ref="E42">1+INDEX($O$3:$R$13,MATCH(($A42+(100-$B$3*18/$B$1-10)/18*$B$1),$O$3:$O$13,1),4)+(($A42+(100-$B$3*18/$B$1-10)/18*$B$1)-INDEX($O$3:$R$13,MATCH(($A42+(100-$B$3*18/$B$1-10)/18*$B$1),$O$3:$O$13,1),1))*((INDEX($O$3:$R$13,MATCH(($A42+(100-$B$3*18/$B$1-10)/18*$B$1),$O$3:$O$13,1)+1,4)-INDEX($O$3:$R$13,MATCH(($A42+(100-$B$3*18/$B$1-10)/18*$B$1),$O$3:$O$13,1),4))/(INDEX($O$3:$R$13,MATCH(($A42+(100-$B$3*18/$B$1-10)/18*$B$1),$O$3:$O$13,1)+1,1)-INDEX($O$3:$R$13,MATCH(($A42+(100-$B$3*18/$B$1-10)/18*$B$1),$O$3:$O$13,1),1)))</f>
        <v>1.3511999999999995</v>
      </c>
      <c r="F42" s="189">
        <f t="shared" si="10"/>
        <v>42.628774422735361</v>
      </c>
      <c r="G42" s="189">
        <f t="shared" si="11"/>
        <v>1.3511999999999995</v>
      </c>
      <c r="H42" s="191">
        <f t="shared" si="12"/>
        <v>0.2095965624253997</v>
      </c>
      <c r="I42" s="189">
        <f t="shared" si="13"/>
        <v>55.371597310964212</v>
      </c>
      <c r="J42" s="189">
        <f t="shared" si="14"/>
        <v>44.29727784877138</v>
      </c>
      <c r="L42" s="224">
        <v>1.1340405493775023</v>
      </c>
      <c r="M42" s="225">
        <v>50.791834587941146</v>
      </c>
      <c r="W42" s="170"/>
      <c r="X42" s="170" t="s">
        <v>242</v>
      </c>
      <c r="Y42" s="170"/>
    </row>
    <row r="43" spans="1:29" ht="15.75" x14ac:dyDescent="0.25">
      <c r="A43" s="36">
        <f t="shared" si="15"/>
        <v>176.39999999999984</v>
      </c>
      <c r="B43" s="188">
        <f t="array" ref="B43">1+INDEX($O$3:$R$13,MATCH(($A43+(100-$B$3*18/$B$1-10)/18*$B$1),$O$3:$O$13,1),3)+(($A43+(100-$B$3*18/$B$1-10)/18*$B$1)-INDEX($O$3:$R$13,MATCH(($A43+(100-$B$3*18/$B$1-10)/18*$B$1),$O$3:$O$13,1),1))*((INDEX($O$3:$R$13,MATCH(($A43+(100-$B$3*18/$B$1-10)/18*$B$1),$O$3:$O$13,1)+1,3)-INDEX($O$3:$R$13,MATCH(($A43+(100-$B$3*18/$B$1-10)/18*$B$1),$O$3:$O$13,1),3))/(INDEX($O$3:$R$13,MATCH(($A43+(100-$B$3*18/$B$1-10)/18*$B$1),$O$3:$O$13,1)+1,1)-INDEX($O$3:$R$13,MATCH(($A43+(100-$B$3*18/$B$1-10)/18*$B$1),$O$3:$O$13,1),1)))</f>
        <v>1.1218666666666666</v>
      </c>
      <c r="C43" s="189">
        <f t="shared" si="8"/>
        <v>51.342999762300934</v>
      </c>
      <c r="D43" s="190">
        <f t="shared" si="9"/>
        <v>1.1218666666666666</v>
      </c>
      <c r="E43" s="189">
        <f t="array" ref="E43">1+INDEX($O$3:$R$13,MATCH(($A43+(100-$B$3*18/$B$1-10)/18*$B$1),$O$3:$O$13,1),4)+(($A43+(100-$B$3*18/$B$1-10)/18*$B$1)-INDEX($O$3:$R$13,MATCH(($A43+(100-$B$3*18/$B$1-10)/18*$B$1),$O$3:$O$13,1),1))*((INDEX($O$3:$R$13,MATCH(($A43+(100-$B$3*18/$B$1-10)/18*$B$1),$O$3:$O$13,1)+1,4)-INDEX($O$3:$R$13,MATCH(($A43+(100-$B$3*18/$B$1-10)/18*$B$1),$O$3:$O$13,1),4))/(INDEX($O$3:$R$13,MATCH(($A43+(100-$B$3*18/$B$1-10)/18*$B$1),$O$3:$O$13,1)+1,1)-INDEX($O$3:$R$13,MATCH(($A43+(100-$B$3*18/$B$1-10)/18*$B$1),$O$3:$O$13,1),1)))</f>
        <v>1.3655999999999995</v>
      </c>
      <c r="F43" s="189">
        <f t="shared" si="10"/>
        <v>42.179261862917414</v>
      </c>
      <c r="G43" s="189">
        <f t="shared" si="11"/>
        <v>1.3655999999999995</v>
      </c>
      <c r="H43" s="191">
        <f t="shared" si="12"/>
        <v>0.21725695269788403</v>
      </c>
      <c r="I43" s="189">
        <f t="shared" si="13"/>
        <v>54.711320422983732</v>
      </c>
      <c r="J43" s="189">
        <f t="shared" si="14"/>
        <v>43.769056338386989</v>
      </c>
      <c r="L43" s="224">
        <v>1.1393659404842849</v>
      </c>
      <c r="M43" s="225">
        <v>50.554433789303246</v>
      </c>
      <c r="W43" s="170"/>
    </row>
    <row r="44" spans="1:29" ht="15.75" x14ac:dyDescent="0.25">
      <c r="A44" s="36">
        <f t="shared" si="15"/>
        <v>179.99999999999983</v>
      </c>
      <c r="B44" s="188">
        <f t="array" ref="B44">1+INDEX($O$3:$R$13,MATCH(($A44+(100-$B$3*18/$B$1-10)/18*$B$1),$O$3:$O$13,1),3)+(($A44+(100-$B$3*18/$B$1-10)/18*$B$1)-INDEX($O$3:$R$13,MATCH(($A44+(100-$B$3*18/$B$1-10)/18*$B$1),$O$3:$O$13,1),1))*((INDEX($O$3:$R$13,MATCH(($A44+(100-$B$3*18/$B$1-10)/18*$B$1),$O$3:$O$13,1)+1,3)-INDEX($O$3:$R$13,MATCH(($A44+(100-$B$3*18/$B$1-10)/18*$B$1),$O$3:$O$13,1),3))/(INDEX($O$3:$R$13,MATCH(($A44+(100-$B$3*18/$B$1-10)/18*$B$1),$O$3:$O$13,1)+1,1)-INDEX($O$3:$R$13,MATCH(($A44+(100-$B$3*18/$B$1-10)/18*$B$1),$O$3:$O$13,1),1)))</f>
        <v>1.1266666666666665</v>
      </c>
      <c r="C44" s="189">
        <f t="shared" si="8"/>
        <v>51.124260355029598</v>
      </c>
      <c r="D44" s="190">
        <f t="shared" si="9"/>
        <v>1.1266666666666665</v>
      </c>
      <c r="E44" s="189">
        <f t="array" ref="E44">1+INDEX($O$3:$R$13,MATCH(($A44+(100-$B$3*18/$B$1-10)/18*$B$1),$O$3:$O$13,1),4)+(($A44+(100-$B$3*18/$B$1-10)/18*$B$1)-INDEX($O$3:$R$13,MATCH(($A44+(100-$B$3*18/$B$1-10)/18*$B$1),$O$3:$O$13,1),1))*((INDEX($O$3:$R$13,MATCH(($A44+(100-$B$3*18/$B$1-10)/18*$B$1),$O$3:$O$13,1)+1,4)-INDEX($O$3:$R$13,MATCH(($A44+(100-$B$3*18/$B$1-10)/18*$B$1),$O$3:$O$13,1),4))/(INDEX($O$3:$R$13,MATCH(($A44+(100-$B$3*18/$B$1-10)/18*$B$1),$O$3:$O$13,1)+1,1)-INDEX($O$3:$R$13,MATCH(($A44+(100-$B$3*18/$B$1-10)/18*$B$1),$O$3:$O$13,1),1)))</f>
        <v>1.3799999999999994</v>
      </c>
      <c r="F44" s="189">
        <f t="shared" si="10"/>
        <v>41.739130434782624</v>
      </c>
      <c r="G44" s="189">
        <f t="shared" si="11"/>
        <v>1.3799999999999994</v>
      </c>
      <c r="H44" s="191">
        <f t="shared" si="12"/>
        <v>0.22485207100591698</v>
      </c>
      <c r="I44" s="189">
        <f t="shared" si="13"/>
        <v>54.07566525544506</v>
      </c>
      <c r="J44" s="189">
        <f t="shared" si="14"/>
        <v>43.260532204356053</v>
      </c>
      <c r="L44" s="224">
        <v>1.1443330249940913</v>
      </c>
      <c r="M44" s="225">
        <v>50.334997541731717</v>
      </c>
      <c r="U44" s="171"/>
      <c r="W44" s="170"/>
      <c r="X44" s="219" t="s">
        <v>260</v>
      </c>
      <c r="Y44" s="44"/>
      <c r="Z44" s="44"/>
      <c r="AA44" s="44"/>
      <c r="AB44" s="44"/>
      <c r="AC44" t="s">
        <v>98</v>
      </c>
    </row>
    <row r="45" spans="1:29" ht="15.75" x14ac:dyDescent="0.25">
      <c r="A45" s="36">
        <f t="shared" si="15"/>
        <v>183.59999999999982</v>
      </c>
      <c r="B45" s="188">
        <f t="array" ref="B45">1+INDEX($O$3:$R$13,MATCH(($A45+(100-$B$3*18/$B$1-10)/18*$B$1),$O$3:$O$13,1),3)+(($A45+(100-$B$3*18/$B$1-10)/18*$B$1)-INDEX($O$3:$R$13,MATCH(($A45+(100-$B$3*18/$B$1-10)/18*$B$1),$O$3:$O$13,1),1))*((INDEX($O$3:$R$13,MATCH(($A45+(100-$B$3*18/$B$1-10)/18*$B$1),$O$3:$O$13,1)+1,3)-INDEX($O$3:$R$13,MATCH(($A45+(100-$B$3*18/$B$1-10)/18*$B$1),$O$3:$O$13,1),3))/(INDEX($O$3:$R$13,MATCH(($A45+(100-$B$3*18/$B$1-10)/18*$B$1),$O$3:$O$13,1)+1,1)-INDEX($O$3:$R$13,MATCH(($A45+(100-$B$3*18/$B$1-10)/18*$B$1),$O$3:$O$13,1),1)))</f>
        <v>1.1314666666666664</v>
      </c>
      <c r="C45" s="189">
        <f t="shared" si="8"/>
        <v>50.90737685599813</v>
      </c>
      <c r="D45" s="190">
        <f t="shared" si="9"/>
        <v>1.1314666666666664</v>
      </c>
      <c r="E45" s="189">
        <f t="array" ref="E45">1+INDEX($O$3:$R$13,MATCH(($A45+(100-$B$3*18/$B$1-10)/18*$B$1),$O$3:$O$13,1),4)+(($A45+(100-$B$3*18/$B$1-10)/18*$B$1)-INDEX($O$3:$R$13,MATCH(($A45+(100-$B$3*18/$B$1-10)/18*$B$1),$O$3:$O$13,1),1))*((INDEX($O$3:$R$13,MATCH(($A45+(100-$B$3*18/$B$1-10)/18*$B$1),$O$3:$O$13,1)+1,4)-INDEX($O$3:$R$13,MATCH(($A45+(100-$B$3*18/$B$1-10)/18*$B$1),$O$3:$O$13,1),4))/(INDEX($O$3:$R$13,MATCH(($A45+(100-$B$3*18/$B$1-10)/18*$B$1),$O$3:$O$13,1)+1,1)-INDEX($O$3:$R$13,MATCH(($A45+(100-$B$3*18/$B$1-10)/18*$B$1),$O$3:$O$13,1),1)))</f>
        <v>1.3943999999999994</v>
      </c>
      <c r="F45" s="189">
        <f t="shared" si="10"/>
        <v>41.308089500860603</v>
      </c>
      <c r="G45" s="189">
        <f t="shared" si="11"/>
        <v>1.3943999999999994</v>
      </c>
      <c r="H45" s="191">
        <f t="shared" si="12"/>
        <v>0.23238274805562087</v>
      </c>
      <c r="I45" s="189">
        <f t="shared" si="13"/>
        <v>53.463219022175188</v>
      </c>
      <c r="J45" s="189">
        <f t="shared" si="14"/>
        <v>42.770575217740159</v>
      </c>
      <c r="L45" s="224">
        <v>1.1489544141818686</v>
      </c>
      <c r="M45" s="225">
        <v>50.132537278265303</v>
      </c>
      <c r="U45" s="171"/>
      <c r="W45" s="170"/>
    </row>
    <row r="46" spans="1:29" ht="15.75" x14ac:dyDescent="0.25">
      <c r="A46" s="36">
        <f t="shared" si="15"/>
        <v>187.19999999999982</v>
      </c>
      <c r="B46" s="188">
        <f t="array" ref="B46">1+INDEX($O$3:$R$13,MATCH(($A46+(100-$B$3*18/$B$1-10)/18*$B$1),$O$3:$O$13,1),3)+(($A46+(100-$B$3*18/$B$1-10)/18*$B$1)-INDEX($O$3:$R$13,MATCH(($A46+(100-$B$3*18/$B$1-10)/18*$B$1),$O$3:$O$13,1),1))*((INDEX($O$3:$R$13,MATCH(($A46+(100-$B$3*18/$B$1-10)/18*$B$1),$O$3:$O$13,1)+1,3)-INDEX($O$3:$R$13,MATCH(($A46+(100-$B$3*18/$B$1-10)/18*$B$1),$O$3:$O$13,1),3))/(INDEX($O$3:$R$13,MATCH(($A46+(100-$B$3*18/$B$1-10)/18*$B$1),$O$3:$O$13,1)+1,1)-INDEX($O$3:$R$13,MATCH(($A46+(100-$B$3*18/$B$1-10)/18*$B$1),$O$3:$O$13,1),1)))</f>
        <v>1.1362666666666665</v>
      </c>
      <c r="C46" s="189">
        <f t="shared" si="8"/>
        <v>50.692325745130255</v>
      </c>
      <c r="D46" s="190">
        <f t="shared" si="9"/>
        <v>1.1362666666666665</v>
      </c>
      <c r="E46" s="189">
        <f t="array" ref="E46">1+INDEX($O$3:$R$13,MATCH(($A46+(100-$B$3*18/$B$1-10)/18*$B$1),$O$3:$O$13,1),4)+(($A46+(100-$B$3*18/$B$1-10)/18*$B$1)-INDEX($O$3:$R$13,MATCH(($A46+(100-$B$3*18/$B$1-10)/18*$B$1),$O$3:$O$13,1),1))*((INDEX($O$3:$R$13,MATCH(($A46+(100-$B$3*18/$B$1-10)/18*$B$1),$O$3:$O$13,1)+1,4)-INDEX($O$3:$R$13,MATCH(($A46+(100-$B$3*18/$B$1-10)/18*$B$1),$O$3:$O$13,1),4))/(INDEX($O$3:$R$13,MATCH(($A46+(100-$B$3*18/$B$1-10)/18*$B$1),$O$3:$O$13,1)+1,1)-INDEX($O$3:$R$13,MATCH(($A46+(100-$B$3*18/$B$1-10)/18*$B$1),$O$3:$O$13,1),1)))</f>
        <v>1.4087999999999994</v>
      </c>
      <c r="F46" s="189">
        <f t="shared" si="10"/>
        <v>40.88586030664397</v>
      </c>
      <c r="G46" s="189">
        <f t="shared" si="11"/>
        <v>1.4087999999999994</v>
      </c>
      <c r="H46" s="191">
        <f t="shared" si="12"/>
        <v>0.23984980051631033</v>
      </c>
      <c r="I46" s="189">
        <f t="shared" si="13"/>
        <v>52.872676416288741</v>
      </c>
      <c r="J46" s="189">
        <f t="shared" si="14"/>
        <v>42.298141133030988</v>
      </c>
      <c r="L46" s="224">
        <v>1.1532442384815127</v>
      </c>
      <c r="M46" s="225">
        <v>49.946054858112667</v>
      </c>
      <c r="U46" s="171"/>
      <c r="W46" s="170"/>
      <c r="X46" t="s">
        <v>271</v>
      </c>
    </row>
    <row r="47" spans="1:29" ht="15.75" x14ac:dyDescent="0.25">
      <c r="A47" s="36">
        <f t="shared" si="15"/>
        <v>190.79999999999981</v>
      </c>
      <c r="B47" s="188">
        <f t="array" ref="B47">1+INDEX($O$3:$R$13,MATCH(($A47+(100-$B$3*18/$B$1-10)/18*$B$1),$O$3:$O$13,1),3)+(($A47+(100-$B$3*18/$B$1-10)/18*$B$1)-INDEX($O$3:$R$13,MATCH(($A47+(100-$B$3*18/$B$1-10)/18*$B$1),$O$3:$O$13,1),1))*((INDEX($O$3:$R$13,MATCH(($A47+(100-$B$3*18/$B$1-10)/18*$B$1),$O$3:$O$13,1)+1,3)-INDEX($O$3:$R$13,MATCH(($A47+(100-$B$3*18/$B$1-10)/18*$B$1),$O$3:$O$13,1),3))/(INDEX($O$3:$R$13,MATCH(($A47+(100-$B$3*18/$B$1-10)/18*$B$1),$O$3:$O$13,1)+1,1)-INDEX($O$3:$R$13,MATCH(($A47+(100-$B$3*18/$B$1-10)/18*$B$1),$O$3:$O$13,1),1)))</f>
        <v>1.1399999999999999</v>
      </c>
      <c r="C47" s="189">
        <f t="shared" si="8"/>
        <v>50.526315789473692</v>
      </c>
      <c r="D47" s="190">
        <f t="shared" si="9"/>
        <v>1.1399999999999999</v>
      </c>
      <c r="E47" s="189">
        <f t="array" ref="E47">1+INDEX($O$3:$R$13,MATCH(($A47+(100-$B$3*18/$B$1-10)/18*$B$1),$O$3:$O$13,1),4)+(($A47+(100-$B$3*18/$B$1-10)/18*$B$1)-INDEX($O$3:$R$13,MATCH(($A47+(100-$B$3*18/$B$1-10)/18*$B$1),$O$3:$O$13,1),1))*((INDEX($O$3:$R$13,MATCH(($A47+(100-$B$3*18/$B$1-10)/18*$B$1),$O$3:$O$13,1)+1,4)-INDEX($O$3:$R$13,MATCH(($A47+(100-$B$3*18/$B$1-10)/18*$B$1),$O$3:$O$13,1),4))/(INDEX($O$3:$R$13,MATCH(($A47+(100-$B$3*18/$B$1-10)/18*$B$1),$O$3:$O$13,1)+1,1)-INDEX($O$3:$R$13,MATCH(($A47+(100-$B$3*18/$B$1-10)/18*$B$1),$O$3:$O$13,1),1)))</f>
        <v>1.42</v>
      </c>
      <c r="F47" s="189">
        <f t="shared" si="10"/>
        <v>40.563380281690144</v>
      </c>
      <c r="G47" s="189">
        <f t="shared" si="11"/>
        <v>1.42</v>
      </c>
      <c r="H47" s="191">
        <f t="shared" si="12"/>
        <v>0.2456140350877194</v>
      </c>
      <c r="I47" s="189">
        <f t="shared" si="13"/>
        <v>52.302829526745924</v>
      </c>
      <c r="J47" s="189">
        <f t="shared" si="14"/>
        <v>41.842263621396739</v>
      </c>
      <c r="L47" s="224">
        <v>1.1572177492109155</v>
      </c>
      <c r="M47" s="225">
        <v>49.774556291826954</v>
      </c>
      <c r="U47" s="171"/>
      <c r="W47" s="170"/>
      <c r="X47" t="s">
        <v>270</v>
      </c>
    </row>
    <row r="48" spans="1:29" ht="15.75" x14ac:dyDescent="0.25">
      <c r="A48" s="36">
        <f t="shared" si="15"/>
        <v>194.39999999999981</v>
      </c>
      <c r="B48" s="188">
        <f t="array" ref="B48">1+INDEX($O$3:$R$13,MATCH(($A48+(100-$B$3*18/$B$1-10)/18*$B$1),$O$3:$O$13,1),3)+(($A48+(100-$B$3*18/$B$1-10)/18*$B$1)-INDEX($O$3:$R$13,MATCH(($A48+(100-$B$3*18/$B$1-10)/18*$B$1),$O$3:$O$13,1),1))*((INDEX($O$3:$R$13,MATCH(($A48+(100-$B$3*18/$B$1-10)/18*$B$1),$O$3:$O$13,1)+1,3)-INDEX($O$3:$R$13,MATCH(($A48+(100-$B$3*18/$B$1-10)/18*$B$1),$O$3:$O$13,1),3))/(INDEX($O$3:$R$13,MATCH(($A48+(100-$B$3*18/$B$1-10)/18*$B$1),$O$3:$O$13,1)+1,1)-INDEX($O$3:$R$13,MATCH(($A48+(100-$B$3*18/$B$1-10)/18*$B$1),$O$3:$O$13,1),1)))</f>
        <v>1.1399999999999999</v>
      </c>
      <c r="C48" s="189">
        <f t="shared" si="8"/>
        <v>50.526315789473692</v>
      </c>
      <c r="D48" s="190">
        <f t="shared" si="9"/>
        <v>1.1399999999999999</v>
      </c>
      <c r="E48" s="189">
        <f t="array" ref="E48">1+INDEX($O$3:$R$13,MATCH(($A48+(100-$B$3*18/$B$1-10)/18*$B$1),$O$3:$O$13,1),4)+(($A48+(100-$B$3*18/$B$1-10)/18*$B$1)-INDEX($O$3:$R$13,MATCH(($A48+(100-$B$3*18/$B$1-10)/18*$B$1),$O$3:$O$13,1),1))*((INDEX($O$3:$R$13,MATCH(($A48+(100-$B$3*18/$B$1-10)/18*$B$1),$O$3:$O$13,1)+1,4)-INDEX($O$3:$R$13,MATCH(($A48+(100-$B$3*18/$B$1-10)/18*$B$1),$O$3:$O$13,1),4))/(INDEX($O$3:$R$13,MATCH(($A48+(100-$B$3*18/$B$1-10)/18*$B$1),$O$3:$O$13,1)+1,1)-INDEX($O$3:$R$13,MATCH(($A48+(100-$B$3*18/$B$1-10)/18*$B$1),$O$3:$O$13,1),1)))</f>
        <v>1.42</v>
      </c>
      <c r="F48" s="189">
        <f t="shared" si="10"/>
        <v>40.563380281690144</v>
      </c>
      <c r="G48" s="189">
        <f t="shared" si="11"/>
        <v>1.42</v>
      </c>
      <c r="H48" s="191">
        <f t="shared" si="12"/>
        <v>0.2456140350877194</v>
      </c>
      <c r="I48" s="189">
        <f t="shared" si="13"/>
        <v>51.752558871942554</v>
      </c>
      <c r="J48" s="189">
        <f t="shared" si="14"/>
        <v>41.402047097554053</v>
      </c>
      <c r="L48" s="224">
        <v>1.16089096005968</v>
      </c>
      <c r="M48" s="225">
        <v>49.617063084924752</v>
      </c>
      <c r="U48" s="171"/>
      <c r="W48" s="170"/>
      <c r="X48" t="s">
        <v>262</v>
      </c>
    </row>
    <row r="49" spans="1:26" ht="15.75" x14ac:dyDescent="0.25">
      <c r="A49" s="36">
        <f t="shared" si="15"/>
        <v>197.9999999999998</v>
      </c>
      <c r="B49" s="188">
        <f t="array" ref="B49">1+INDEX($O$3:$R$13,MATCH(($A49+(100-$B$3*18/$B$1-10)/18*$B$1),$O$3:$O$13,1),3)+(($A49+(100-$B$3*18/$B$1-10)/18*$B$1)-INDEX($O$3:$R$13,MATCH(($A49+(100-$B$3*18/$B$1-10)/18*$B$1),$O$3:$O$13,1),1))*((INDEX($O$3:$R$13,MATCH(($A49+(100-$B$3*18/$B$1-10)/18*$B$1),$O$3:$O$13,1)+1,3)-INDEX($O$3:$R$13,MATCH(($A49+(100-$B$3*18/$B$1-10)/18*$B$1),$O$3:$O$13,1),3))/(INDEX($O$3:$R$13,MATCH(($A49+(100-$B$3*18/$B$1-10)/18*$B$1),$O$3:$O$13,1)+1,1)-INDEX($O$3:$R$13,MATCH(($A49+(100-$B$3*18/$B$1-10)/18*$B$1),$O$3:$O$13,1),1)))</f>
        <v>1.1399999999999999</v>
      </c>
      <c r="C49" s="189">
        <f t="shared" si="8"/>
        <v>50.526315789473692</v>
      </c>
      <c r="D49" s="190">
        <f t="shared" si="9"/>
        <v>1.1399999999999999</v>
      </c>
      <c r="E49" s="189">
        <f t="array" ref="E49">1+INDEX($O$3:$R$13,MATCH(($A49+(100-$B$3*18/$B$1-10)/18*$B$1),$O$3:$O$13,1),4)+(($A49+(100-$B$3*18/$B$1-10)/18*$B$1)-INDEX($O$3:$R$13,MATCH(($A49+(100-$B$3*18/$B$1-10)/18*$B$1),$O$3:$O$13,1),1))*((INDEX($O$3:$R$13,MATCH(($A49+(100-$B$3*18/$B$1-10)/18*$B$1),$O$3:$O$13,1)+1,4)-INDEX($O$3:$R$13,MATCH(($A49+(100-$B$3*18/$B$1-10)/18*$B$1),$O$3:$O$13,1),4))/(INDEX($O$3:$R$13,MATCH(($A49+(100-$B$3*18/$B$1-10)/18*$B$1),$O$3:$O$13,1)+1,1)-INDEX($O$3:$R$13,MATCH(($A49+(100-$B$3*18/$B$1-10)/18*$B$1),$O$3:$O$13,1),1)))</f>
        <v>1.42</v>
      </c>
      <c r="F49" s="189">
        <f t="shared" si="10"/>
        <v>40.563380281690144</v>
      </c>
      <c r="G49" s="189">
        <f t="shared" si="11"/>
        <v>1.42</v>
      </c>
      <c r="H49" s="191">
        <f t="shared" si="12"/>
        <v>0.2456140350877194</v>
      </c>
      <c r="I49" s="189">
        <f t="shared" si="13"/>
        <v>51.220825408406206</v>
      </c>
      <c r="J49" s="189">
        <f t="shared" si="14"/>
        <v>40.976660326724968</v>
      </c>
      <c r="L49" s="224">
        <v>1.1642803310107126</v>
      </c>
      <c r="M49" s="225">
        <v>49.472621383200213</v>
      </c>
      <c r="U49" s="171"/>
      <c r="W49" s="170"/>
      <c r="X49" t="s">
        <v>264</v>
      </c>
    </row>
    <row r="50" spans="1:26" ht="15.75" x14ac:dyDescent="0.25">
      <c r="A50" s="36">
        <f t="shared" si="15"/>
        <v>201.5999999999998</v>
      </c>
      <c r="B50" s="188">
        <f t="array" ref="B50">1+INDEX($O$3:$R$13,MATCH(($A50+(100-$B$3*18/$B$1-10)/18*$B$1),$O$3:$O$13,1),3)+(($A50+(100-$B$3*18/$B$1-10)/18*$B$1)-INDEX($O$3:$R$13,MATCH(($A50+(100-$B$3*18/$B$1-10)/18*$B$1),$O$3:$O$13,1),1))*((INDEX($O$3:$R$13,MATCH(($A50+(100-$B$3*18/$B$1-10)/18*$B$1),$O$3:$O$13,1)+1,3)-INDEX($O$3:$R$13,MATCH(($A50+(100-$B$3*18/$B$1-10)/18*$B$1),$O$3:$O$13,1),3))/(INDEX($O$3:$R$13,MATCH(($A50+(100-$B$3*18/$B$1-10)/18*$B$1),$O$3:$O$13,1)+1,1)-INDEX($O$3:$R$13,MATCH(($A50+(100-$B$3*18/$B$1-10)/18*$B$1),$O$3:$O$13,1),1)))</f>
        <v>1.1399999999999999</v>
      </c>
      <c r="C50" s="189">
        <f t="shared" si="8"/>
        <v>50.526315789473692</v>
      </c>
      <c r="D50" s="190">
        <f t="shared" si="9"/>
        <v>1.1399999999999999</v>
      </c>
      <c r="E50" s="189">
        <f t="array" ref="E50">1+INDEX($O$3:$R$13,MATCH(($A50+(100-$B$3*18/$B$1-10)/18*$B$1),$O$3:$O$13,1),4)+(($A50+(100-$B$3*18/$B$1-10)/18*$B$1)-INDEX($O$3:$R$13,MATCH(($A50+(100-$B$3*18/$B$1-10)/18*$B$1),$O$3:$O$13,1),1))*((INDEX($O$3:$R$13,MATCH(($A50+(100-$B$3*18/$B$1-10)/18*$B$1),$O$3:$O$13,1)+1,4)-INDEX($O$3:$R$13,MATCH(($A50+(100-$B$3*18/$B$1-10)/18*$B$1),$O$3:$O$13,1),4))/(INDEX($O$3:$R$13,MATCH(($A50+(100-$B$3*18/$B$1-10)/18*$B$1),$O$3:$O$13,1)+1,1)-INDEX($O$3:$R$13,MATCH(($A50+(100-$B$3*18/$B$1-10)/18*$B$1),$O$3:$O$13,1),1)))</f>
        <v>1.42</v>
      </c>
      <c r="F50" s="189">
        <f t="shared" si="10"/>
        <v>40.563380281690144</v>
      </c>
      <c r="G50" s="189">
        <f t="shared" si="11"/>
        <v>1.42</v>
      </c>
      <c r="H50" s="191">
        <f t="shared" si="12"/>
        <v>0.2456140350877194</v>
      </c>
      <c r="I50" s="189">
        <f t="shared" si="13"/>
        <v>50.706663392927162</v>
      </c>
      <c r="J50" s="189">
        <f t="shared" si="14"/>
        <v>40.565330714341727</v>
      </c>
      <c r="L50" s="224">
        <v>1.167402495305464</v>
      </c>
      <c r="M50" s="225">
        <v>49.34030913213725</v>
      </c>
      <c r="U50" s="171"/>
      <c r="W50" s="170"/>
      <c r="X50" t="s">
        <v>263</v>
      </c>
    </row>
    <row r="51" spans="1:26" ht="15.75" x14ac:dyDescent="0.25">
      <c r="A51" s="36">
        <f t="shared" si="15"/>
        <v>205.19999999999979</v>
      </c>
      <c r="B51" s="188">
        <f t="array" ref="B51">1+INDEX($O$3:$R$13,MATCH(($A51+(100-$B$3*18/$B$1-10)/18*$B$1),$O$3:$O$13,1),3)+(($A51+(100-$B$3*18/$B$1-10)/18*$B$1)-INDEX($O$3:$R$13,MATCH(($A51+(100-$B$3*18/$B$1-10)/18*$B$1),$O$3:$O$13,1),1))*((INDEX($O$3:$R$13,MATCH(($A51+(100-$B$3*18/$B$1-10)/18*$B$1),$O$3:$O$13,1)+1,3)-INDEX($O$3:$R$13,MATCH(($A51+(100-$B$3*18/$B$1-10)/18*$B$1),$O$3:$O$13,1),3))/(INDEX($O$3:$R$13,MATCH(($A51+(100-$B$3*18/$B$1-10)/18*$B$1),$O$3:$O$13,1)+1,1)-INDEX($O$3:$R$13,MATCH(($A51+(100-$B$3*18/$B$1-10)/18*$B$1),$O$3:$O$13,1),1)))</f>
        <v>1.1399999999999999</v>
      </c>
      <c r="C51" s="189">
        <f t="shared" si="8"/>
        <v>50.526315789473692</v>
      </c>
      <c r="D51" s="190">
        <f t="shared" si="9"/>
        <v>1.1399999999999999</v>
      </c>
      <c r="E51" s="189">
        <f t="array" ref="E51">1+INDEX($O$3:$R$13,MATCH(($A51+(100-$B$3*18/$B$1-10)/18*$B$1),$O$3:$O$13,1),4)+(($A51+(100-$B$3*18/$B$1-10)/18*$B$1)-INDEX($O$3:$R$13,MATCH(($A51+(100-$B$3*18/$B$1-10)/18*$B$1),$O$3:$O$13,1),1))*((INDEX($O$3:$R$13,MATCH(($A51+(100-$B$3*18/$B$1-10)/18*$B$1),$O$3:$O$13,1)+1,4)-INDEX($O$3:$R$13,MATCH(($A51+(100-$B$3*18/$B$1-10)/18*$B$1),$O$3:$O$13,1),4))/(INDEX($O$3:$R$13,MATCH(($A51+(100-$B$3*18/$B$1-10)/18*$B$1),$O$3:$O$13,1)+1,1)-INDEX($O$3:$R$13,MATCH(($A51+(100-$B$3*18/$B$1-10)/18*$B$1),$O$3:$O$13,1),1)))</f>
        <v>1.42</v>
      </c>
      <c r="F51" s="189">
        <f t="shared" si="10"/>
        <v>40.563380281690144</v>
      </c>
      <c r="G51" s="189">
        <f t="shared" si="11"/>
        <v>1.42</v>
      </c>
      <c r="H51" s="191">
        <f t="shared" si="12"/>
        <v>0.2456140350877194</v>
      </c>
      <c r="I51" s="189">
        <f t="shared" si="13"/>
        <v>50.209173993511733</v>
      </c>
      <c r="J51" s="189">
        <f t="shared" si="14"/>
        <v>40.167339194809387</v>
      </c>
      <c r="L51" s="224">
        <v>1.1702740284479334</v>
      </c>
      <c r="M51" s="225">
        <v>49.219241476623679</v>
      </c>
      <c r="U51" s="171"/>
      <c r="W51" s="170"/>
      <c r="X51" t="s">
        <v>265</v>
      </c>
    </row>
    <row r="52" spans="1:26" ht="15.75" x14ac:dyDescent="0.25">
      <c r="A52" s="36">
        <f t="shared" si="15"/>
        <v>208.79999999999978</v>
      </c>
      <c r="B52" s="188">
        <f t="array" ref="B52">1+INDEX($O$3:$R$13,MATCH(($A52+(100-$B$3*18/$B$1-10)/18*$B$1),$O$3:$O$13,1),3)+(($A52+(100-$B$3*18/$B$1-10)/18*$B$1)-INDEX($O$3:$R$13,MATCH(($A52+(100-$B$3*18/$B$1-10)/18*$B$1),$O$3:$O$13,1),1))*((INDEX($O$3:$R$13,MATCH(($A52+(100-$B$3*18/$B$1-10)/18*$B$1),$O$3:$O$13,1)+1,3)-INDEX($O$3:$R$13,MATCH(($A52+(100-$B$3*18/$B$1-10)/18*$B$1),$O$3:$O$13,1),3))/(INDEX($O$3:$R$13,MATCH(($A52+(100-$B$3*18/$B$1-10)/18*$B$1),$O$3:$O$13,1)+1,1)-INDEX($O$3:$R$13,MATCH(($A52+(100-$B$3*18/$B$1-10)/18*$B$1),$O$3:$O$13,1),1)))</f>
        <v>1.1399999999999999</v>
      </c>
      <c r="C52" s="189">
        <f t="shared" si="8"/>
        <v>50.526315789473692</v>
      </c>
      <c r="D52" s="190">
        <f t="shared" si="9"/>
        <v>1.1399999999999999</v>
      </c>
      <c r="E52" s="189">
        <f t="array" ref="E52">1+INDEX($O$3:$R$13,MATCH(($A52+(100-$B$3*18/$B$1-10)/18*$B$1),$O$3:$O$13,1),4)+(($A52+(100-$B$3*18/$B$1-10)/18*$B$1)-INDEX($O$3:$R$13,MATCH(($A52+(100-$B$3*18/$B$1-10)/18*$B$1),$O$3:$O$13,1),1))*((INDEX($O$3:$R$13,MATCH(($A52+(100-$B$3*18/$B$1-10)/18*$B$1),$O$3:$O$13,1)+1,4)-INDEX($O$3:$R$13,MATCH(($A52+(100-$B$3*18/$B$1-10)/18*$B$1),$O$3:$O$13,1),4))/(INDEX($O$3:$R$13,MATCH(($A52+(100-$B$3*18/$B$1-10)/18*$B$1),$O$3:$O$13,1)+1,1)-INDEX($O$3:$R$13,MATCH(($A52+(100-$B$3*18/$B$1-10)/18*$B$1),$O$3:$O$13,1),1)))</f>
        <v>1.42</v>
      </c>
      <c r="F52" s="189">
        <f t="shared" si="10"/>
        <v>40.563380281690144</v>
      </c>
      <c r="G52" s="189">
        <f t="shared" si="11"/>
        <v>1.42</v>
      </c>
      <c r="H52" s="191">
        <f t="shared" si="12"/>
        <v>0.2456140350877194</v>
      </c>
      <c r="I52" s="189">
        <f t="shared" si="13"/>
        <v>49.727519558958363</v>
      </c>
      <c r="J52" s="189">
        <f t="shared" si="14"/>
        <v>39.782015647166695</v>
      </c>
      <c r="L52" s="224">
        <v>1.1729112570482281</v>
      </c>
      <c r="M52" s="225">
        <v>49.108574629045094</v>
      </c>
      <c r="U52" s="171"/>
      <c r="W52" s="170"/>
      <c r="X52" t="s">
        <v>266</v>
      </c>
    </row>
    <row r="53" spans="1:26" ht="15.75" x14ac:dyDescent="0.25">
      <c r="A53" s="36">
        <f t="shared" si="15"/>
        <v>212.39999999999978</v>
      </c>
      <c r="B53" s="188">
        <f t="array" ref="B53">1+INDEX($O$3:$R$13,MATCH(($A53+(100-$B$3*18/$B$1-10)/18*$B$1),$O$3:$O$13,1),3)+(($A53+(100-$B$3*18/$B$1-10)/18*$B$1)-INDEX($O$3:$R$13,MATCH(($A53+(100-$B$3*18/$B$1-10)/18*$B$1),$O$3:$O$13,1),1))*((INDEX($O$3:$R$13,MATCH(($A53+(100-$B$3*18/$B$1-10)/18*$B$1),$O$3:$O$13,1)+1,3)-INDEX($O$3:$R$13,MATCH(($A53+(100-$B$3*18/$B$1-10)/18*$B$1),$O$3:$O$13,1),3))/(INDEX($O$3:$R$13,MATCH(($A53+(100-$B$3*18/$B$1-10)/18*$B$1),$O$3:$O$13,1)+1,1)-INDEX($O$3:$R$13,MATCH(($A53+(100-$B$3*18/$B$1-10)/18*$B$1),$O$3:$O$13,1),1)))</f>
        <v>1.1399999999999999</v>
      </c>
      <c r="C53" s="189">
        <f t="shared" si="8"/>
        <v>50.526315789473692</v>
      </c>
      <c r="D53" s="190">
        <f t="shared" si="9"/>
        <v>1.1399999999999999</v>
      </c>
      <c r="E53" s="189">
        <f t="array" ref="E53">1+INDEX($O$3:$R$13,MATCH(($A53+(100-$B$3*18/$B$1-10)/18*$B$1),$O$3:$O$13,1),4)+(($A53+(100-$B$3*18/$B$1-10)/18*$B$1)-INDEX($O$3:$R$13,MATCH(($A53+(100-$B$3*18/$B$1-10)/18*$B$1),$O$3:$O$13,1),1))*((INDEX($O$3:$R$13,MATCH(($A53+(100-$B$3*18/$B$1-10)/18*$B$1),$O$3:$O$13,1)+1,4)-INDEX($O$3:$R$13,MATCH(($A53+(100-$B$3*18/$B$1-10)/18*$B$1),$O$3:$O$13,1),4))/(INDEX($O$3:$R$13,MATCH(($A53+(100-$B$3*18/$B$1-10)/18*$B$1),$O$3:$O$13,1)+1,1)-INDEX($O$3:$R$13,MATCH(($A53+(100-$B$3*18/$B$1-10)/18*$B$1),$O$3:$O$13,1),1)))</f>
        <v>1.42</v>
      </c>
      <c r="F53" s="189">
        <f t="shared" si="10"/>
        <v>40.563380281690144</v>
      </c>
      <c r="G53" s="189">
        <f t="shared" si="11"/>
        <v>1.42</v>
      </c>
      <c r="H53" s="191">
        <f t="shared" si="12"/>
        <v>0.2456140350877194</v>
      </c>
      <c r="I53" s="189">
        <f t="shared" si="13"/>
        <v>49.260918469073673</v>
      </c>
      <c r="J53" s="189">
        <f t="shared" si="14"/>
        <v>39.408734775258942</v>
      </c>
      <c r="L53" s="224">
        <v>1.1753301044866065</v>
      </c>
      <c r="M53" s="225">
        <v>49.007508426885856</v>
      </c>
      <c r="U53" s="171"/>
      <c r="W53" s="170"/>
      <c r="X53" t="s">
        <v>272</v>
      </c>
    </row>
    <row r="54" spans="1:26" ht="15.75" x14ac:dyDescent="0.25">
      <c r="A54" s="36">
        <f t="shared" si="15"/>
        <v>215.99999999999977</v>
      </c>
      <c r="B54" s="188">
        <f t="array" ref="B54">1+INDEX($O$3:$R$13,MATCH(($A54+(100-$B$3*18/$B$1-10)/18*$B$1),$O$3:$O$13,1),3)+(($A54+(100-$B$3*18/$B$1-10)/18*$B$1)-INDEX($O$3:$R$13,MATCH(($A54+(100-$B$3*18/$B$1-10)/18*$B$1),$O$3:$O$13,1),1))*((INDEX($O$3:$R$13,MATCH(($A54+(100-$B$3*18/$B$1-10)/18*$B$1),$O$3:$O$13,1)+1,3)-INDEX($O$3:$R$13,MATCH(($A54+(100-$B$3*18/$B$1-10)/18*$B$1),$O$3:$O$13,1),3))/(INDEX($O$3:$R$13,MATCH(($A54+(100-$B$3*18/$B$1-10)/18*$B$1),$O$3:$O$13,1)+1,1)-INDEX($O$3:$R$13,MATCH(($A54+(100-$B$3*18/$B$1-10)/18*$B$1),$O$3:$O$13,1),1)))</f>
        <v>1.1399999999999999</v>
      </c>
      <c r="C54" s="189">
        <f t="shared" si="8"/>
        <v>50.526315789473692</v>
      </c>
      <c r="D54" s="190">
        <f t="shared" si="9"/>
        <v>1.1399999999999999</v>
      </c>
      <c r="E54" s="189">
        <f t="array" ref="E54">1+INDEX($O$3:$R$13,MATCH(($A54+(100-$B$3*18/$B$1-10)/18*$B$1),$O$3:$O$13,1),4)+(($A54+(100-$B$3*18/$B$1-10)/18*$B$1)-INDEX($O$3:$R$13,MATCH(($A54+(100-$B$3*18/$B$1-10)/18*$B$1),$O$3:$O$13,1),1))*((INDEX($O$3:$R$13,MATCH(($A54+(100-$B$3*18/$B$1-10)/18*$B$1),$O$3:$O$13,1)+1,4)-INDEX($O$3:$R$13,MATCH(($A54+(100-$B$3*18/$B$1-10)/18*$B$1),$O$3:$O$13,1),4))/(INDEX($O$3:$R$13,MATCH(($A54+(100-$B$3*18/$B$1-10)/18*$B$1),$O$3:$O$13,1)+1,1)-INDEX($O$3:$R$13,MATCH(($A54+(100-$B$3*18/$B$1-10)/18*$B$1),$O$3:$O$13,1),1)))</f>
        <v>1.42</v>
      </c>
      <c r="F54" s="189">
        <f t="shared" si="10"/>
        <v>40.563380281690144</v>
      </c>
      <c r="G54" s="189">
        <f t="shared" si="11"/>
        <v>1.42</v>
      </c>
      <c r="H54" s="191">
        <f t="shared" si="12"/>
        <v>0.2456140350877194</v>
      </c>
      <c r="I54" s="189">
        <f t="shared" si="13"/>
        <v>48.808640497930035</v>
      </c>
      <c r="J54" s="189">
        <f t="shared" si="14"/>
        <v>39.046912398344027</v>
      </c>
      <c r="L54" s="224">
        <v>1.1775459698773569</v>
      </c>
      <c r="M54" s="225">
        <v>48.915287787872195</v>
      </c>
      <c r="U54" s="171"/>
      <c r="W54" s="170"/>
      <c r="X54" t="s">
        <v>268</v>
      </c>
    </row>
    <row r="55" spans="1:26" ht="15.75" x14ac:dyDescent="0.25">
      <c r="A55" s="36">
        <f t="shared" si="15"/>
        <v>219.59999999999977</v>
      </c>
      <c r="B55" s="188">
        <f t="array" ref="B55">1+INDEX($O$3:$R$13,MATCH(($A55+(100-$B$3*18/$B$1-10)/18*$B$1),$O$3:$O$13,1),3)+(($A55+(100-$B$3*18/$B$1-10)/18*$B$1)-INDEX($O$3:$R$13,MATCH(($A55+(100-$B$3*18/$B$1-10)/18*$B$1),$O$3:$O$13,1),1))*((INDEX($O$3:$R$13,MATCH(($A55+(100-$B$3*18/$B$1-10)/18*$B$1),$O$3:$O$13,1)+1,3)-INDEX($O$3:$R$13,MATCH(($A55+(100-$B$3*18/$B$1-10)/18*$B$1),$O$3:$O$13,1),3))/(INDEX($O$3:$R$13,MATCH(($A55+(100-$B$3*18/$B$1-10)/18*$B$1),$O$3:$O$13,1)+1,1)-INDEX($O$3:$R$13,MATCH(($A55+(100-$B$3*18/$B$1-10)/18*$B$1),$O$3:$O$13,1),1)))</f>
        <v>1.1399999999999999</v>
      </c>
      <c r="C55" s="189">
        <f t="shared" si="8"/>
        <v>50.526315789473692</v>
      </c>
      <c r="D55" s="190">
        <f t="shared" si="9"/>
        <v>1.1399999999999999</v>
      </c>
      <c r="E55" s="189">
        <f t="array" ref="E55">1+INDEX($O$3:$R$13,MATCH(($A55+(100-$B$3*18/$B$1-10)/18*$B$1),$O$3:$O$13,1),4)+(($A55+(100-$B$3*18/$B$1-10)/18*$B$1)-INDEX($O$3:$R$13,MATCH(($A55+(100-$B$3*18/$B$1-10)/18*$B$1),$O$3:$O$13,1),1))*((INDEX($O$3:$R$13,MATCH(($A55+(100-$B$3*18/$B$1-10)/18*$B$1),$O$3:$O$13,1)+1,4)-INDEX($O$3:$R$13,MATCH(($A55+(100-$B$3*18/$B$1-10)/18*$B$1),$O$3:$O$13,1),4))/(INDEX($O$3:$R$13,MATCH(($A55+(100-$B$3*18/$B$1-10)/18*$B$1),$O$3:$O$13,1)+1,1)-INDEX($O$3:$R$13,MATCH(($A55+(100-$B$3*18/$B$1-10)/18*$B$1),$O$3:$O$13,1),1)))</f>
        <v>1.42</v>
      </c>
      <c r="F55" s="189">
        <f t="shared" si="10"/>
        <v>40.563380281690144</v>
      </c>
      <c r="G55" s="189">
        <f t="shared" si="11"/>
        <v>1.42</v>
      </c>
      <c r="H55" s="191">
        <f t="shared" si="12"/>
        <v>0.2456140350877194</v>
      </c>
      <c r="I55" s="189">
        <f t="shared" si="13"/>
        <v>48.370002631420732</v>
      </c>
      <c r="J55" s="189">
        <f t="shared" si="14"/>
        <v>38.696002105136586</v>
      </c>
      <c r="L55" s="224">
        <v>1.1795736365693879</v>
      </c>
      <c r="M55" s="225">
        <v>48.831203253678098</v>
      </c>
      <c r="U55" s="171"/>
      <c r="W55" s="170"/>
      <c r="X55" t="s">
        <v>267</v>
      </c>
    </row>
    <row r="56" spans="1:26" ht="15.75" x14ac:dyDescent="0.25">
      <c r="A56" s="36">
        <f t="shared" si="15"/>
        <v>223.19999999999976</v>
      </c>
      <c r="B56" s="188">
        <f t="array" ref="B56">1+INDEX($O$3:$R$13,MATCH(($A56+(100-$B$3*18/$B$1-10)/18*$B$1),$O$3:$O$13,1),3)+(($A56+(100-$B$3*18/$B$1-10)/18*$B$1)-INDEX($O$3:$R$13,MATCH(($A56+(100-$B$3*18/$B$1-10)/18*$B$1),$O$3:$O$13,1),1))*((INDEX($O$3:$R$13,MATCH(($A56+(100-$B$3*18/$B$1-10)/18*$B$1),$O$3:$O$13,1)+1,3)-INDEX($O$3:$R$13,MATCH(($A56+(100-$B$3*18/$B$1-10)/18*$B$1),$O$3:$O$13,1),3))/(INDEX($O$3:$R$13,MATCH(($A56+(100-$B$3*18/$B$1-10)/18*$B$1),$O$3:$O$13,1)+1,1)-INDEX($O$3:$R$13,MATCH(($A56+(100-$B$3*18/$B$1-10)/18*$B$1),$O$3:$O$13,1),1)))</f>
        <v>1.1399999999999999</v>
      </c>
      <c r="C56" s="189">
        <f t="shared" si="8"/>
        <v>50.526315789473692</v>
      </c>
      <c r="D56" s="190">
        <f t="shared" si="9"/>
        <v>1.1399999999999999</v>
      </c>
      <c r="E56" s="189">
        <f t="array" ref="E56">1+INDEX($O$3:$R$13,MATCH(($A56+(100-$B$3*18/$B$1-10)/18*$B$1),$O$3:$O$13,1),4)+(($A56+(100-$B$3*18/$B$1-10)/18*$B$1)-INDEX($O$3:$R$13,MATCH(($A56+(100-$B$3*18/$B$1-10)/18*$B$1),$O$3:$O$13,1),1))*((INDEX($O$3:$R$13,MATCH(($A56+(100-$B$3*18/$B$1-10)/18*$B$1),$O$3:$O$13,1)+1,4)-INDEX($O$3:$R$13,MATCH(($A56+(100-$B$3*18/$B$1-10)/18*$B$1),$O$3:$O$13,1),4))/(INDEX($O$3:$R$13,MATCH(($A56+(100-$B$3*18/$B$1-10)/18*$B$1),$O$3:$O$13,1)+1,1)-INDEX($O$3:$R$13,MATCH(($A56+(100-$B$3*18/$B$1-10)/18*$B$1),$O$3:$O$13,1),1)))</f>
        <v>1.42</v>
      </c>
      <c r="F56" s="189">
        <f t="shared" si="10"/>
        <v>40.563380281690144</v>
      </c>
      <c r="G56" s="189">
        <f t="shared" si="11"/>
        <v>1.42</v>
      </c>
      <c r="H56" s="191">
        <f t="shared" si="12"/>
        <v>0.2456140350877194</v>
      </c>
      <c r="I56" s="189">
        <f t="shared" si="13"/>
        <v>47.944365287938496</v>
      </c>
      <c r="J56" s="189">
        <f t="shared" si="14"/>
        <v>38.355492230350798</v>
      </c>
      <c r="L56" s="224">
        <v>1.1814272063797011</v>
      </c>
      <c r="M56" s="225">
        <v>48.754590794050017</v>
      </c>
      <c r="U56" s="171"/>
      <c r="W56" s="170"/>
      <c r="X56" t="s">
        <v>269</v>
      </c>
    </row>
    <row r="57" spans="1:26" ht="15.75" x14ac:dyDescent="0.25">
      <c r="A57" s="36">
        <f t="shared" si="15"/>
        <v>226.79999999999976</v>
      </c>
      <c r="B57" s="188">
        <f t="array" ref="B57">1+INDEX($O$3:$R$13,MATCH(($A57+(100-$B$3*18/$B$1-10)/18*$B$1),$O$3:$O$13,1),3)+(($A57+(100-$B$3*18/$B$1-10)/18*$B$1)-INDEX($O$3:$R$13,MATCH(($A57+(100-$B$3*18/$B$1-10)/18*$B$1),$O$3:$O$13,1),1))*((INDEX($O$3:$R$13,MATCH(($A57+(100-$B$3*18/$B$1-10)/18*$B$1),$O$3:$O$13,1)+1,3)-INDEX($O$3:$R$13,MATCH(($A57+(100-$B$3*18/$B$1-10)/18*$B$1),$O$3:$O$13,1),3))/(INDEX($O$3:$R$13,MATCH(($A57+(100-$B$3*18/$B$1-10)/18*$B$1),$O$3:$O$13,1)+1,1)-INDEX($O$3:$R$13,MATCH(($A57+(100-$B$3*18/$B$1-10)/18*$B$1),$O$3:$O$13,1),1)))</f>
        <v>1.1399999999999999</v>
      </c>
      <c r="C57" s="189">
        <f t="shared" si="8"/>
        <v>50.526315789473692</v>
      </c>
      <c r="D57" s="190">
        <f t="shared" si="9"/>
        <v>1.1399999999999999</v>
      </c>
      <c r="E57" s="189">
        <f t="array" ref="E57">1+INDEX($O$3:$R$13,MATCH(($A57+(100-$B$3*18/$B$1-10)/18*$B$1),$O$3:$O$13,1),4)+(($A57+(100-$B$3*18/$B$1-10)/18*$B$1)-INDEX($O$3:$R$13,MATCH(($A57+(100-$B$3*18/$B$1-10)/18*$B$1),$O$3:$O$13,1),1))*((INDEX($O$3:$R$13,MATCH(($A57+(100-$B$3*18/$B$1-10)/18*$B$1),$O$3:$O$13,1)+1,4)-INDEX($O$3:$R$13,MATCH(($A57+(100-$B$3*18/$B$1-10)/18*$B$1),$O$3:$O$13,1),4))/(INDEX($O$3:$R$13,MATCH(($A57+(100-$B$3*18/$B$1-10)/18*$B$1),$O$3:$O$13,1)+1,1)-INDEX($O$3:$R$13,MATCH(($A57+(100-$B$3*18/$B$1-10)/18*$B$1),$O$3:$O$13,1),1)))</f>
        <v>1.42</v>
      </c>
      <c r="F57" s="189">
        <f t="shared" si="10"/>
        <v>40.563380281690144</v>
      </c>
      <c r="G57" s="189">
        <f t="shared" si="11"/>
        <v>1.42</v>
      </c>
      <c r="H57" s="191">
        <f t="shared" si="12"/>
        <v>0.2456140350877194</v>
      </c>
      <c r="I57" s="189">
        <f t="shared" si="13"/>
        <v>47.531128897491946</v>
      </c>
      <c r="J57" s="189">
        <f t="shared" si="14"/>
        <v>38.02490311799356</v>
      </c>
      <c r="L57" s="224">
        <v>1.1831200558649411</v>
      </c>
      <c r="M57" s="225">
        <v>48.684831023247675</v>
      </c>
      <c r="U57" s="171"/>
    </row>
    <row r="58" spans="1:26" ht="15.75" x14ac:dyDescent="0.25">
      <c r="A58" s="36">
        <f t="shared" si="15"/>
        <v>230.39999999999975</v>
      </c>
      <c r="B58" s="188">
        <f t="array" ref="B58">1+INDEX($O$3:$R$13,MATCH(($A58+(100-$B$3*18/$B$1-10)/18*$B$1),$O$3:$O$13,1),3)+(($A58+(100-$B$3*18/$B$1-10)/18*$B$1)-INDEX($O$3:$R$13,MATCH(($A58+(100-$B$3*18/$B$1-10)/18*$B$1),$O$3:$O$13,1),1))*((INDEX($O$3:$R$13,MATCH(($A58+(100-$B$3*18/$B$1-10)/18*$B$1),$O$3:$O$13,1)+1,3)-INDEX($O$3:$R$13,MATCH(($A58+(100-$B$3*18/$B$1-10)/18*$B$1),$O$3:$O$13,1),3))/(INDEX($O$3:$R$13,MATCH(($A58+(100-$B$3*18/$B$1-10)/18*$B$1),$O$3:$O$13,1)+1,1)-INDEX($O$3:$R$13,MATCH(($A58+(100-$B$3*18/$B$1-10)/18*$B$1),$O$3:$O$13,1),1)))</f>
        <v>1.1399999999999999</v>
      </c>
      <c r="C58" s="189">
        <f t="shared" si="8"/>
        <v>50.526315789473692</v>
      </c>
      <c r="D58" s="190">
        <f t="shared" si="9"/>
        <v>1.1399999999999999</v>
      </c>
      <c r="E58" s="189">
        <f t="array" ref="E58">1+INDEX($O$3:$R$13,MATCH(($A58+(100-$B$3*18/$B$1-10)/18*$B$1),$O$3:$O$13,1),4)+(($A58+(100-$B$3*18/$B$1-10)/18*$B$1)-INDEX($O$3:$R$13,MATCH(($A58+(100-$B$3*18/$B$1-10)/18*$B$1),$O$3:$O$13,1),1))*((INDEX($O$3:$R$13,MATCH(($A58+(100-$B$3*18/$B$1-10)/18*$B$1),$O$3:$O$13,1)+1,4)-INDEX($O$3:$R$13,MATCH(($A58+(100-$B$3*18/$B$1-10)/18*$B$1),$O$3:$O$13,1),4))/(INDEX($O$3:$R$13,MATCH(($A58+(100-$B$3*18/$B$1-10)/18*$B$1),$O$3:$O$13,1)+1,1)-INDEX($O$3:$R$13,MATCH(($A58+(100-$B$3*18/$B$1-10)/18*$B$1),$O$3:$O$13,1),1)))</f>
        <v>1.42</v>
      </c>
      <c r="F58" s="189">
        <f t="shared" si="10"/>
        <v>40.563380281690144</v>
      </c>
      <c r="G58" s="189">
        <f t="shared" si="11"/>
        <v>1.42</v>
      </c>
      <c r="H58" s="191">
        <f t="shared" si="12"/>
        <v>0.2456140350877194</v>
      </c>
      <c r="I58" s="189">
        <f t="shared" si="13"/>
        <v>47.129730800152842</v>
      </c>
      <c r="J58" s="189">
        <f t="shared" si="14"/>
        <v>37.703784640122279</v>
      </c>
      <c r="L58" s="224">
        <v>1.1846648111498559</v>
      </c>
      <c r="M58" s="225">
        <v>48.621347960941335</v>
      </c>
      <c r="U58" s="171"/>
      <c r="V58" t="s">
        <v>73</v>
      </c>
      <c r="W58" s="221" t="s">
        <v>73</v>
      </c>
      <c r="X58" s="222" t="s">
        <v>276</v>
      </c>
    </row>
    <row r="59" spans="1:26" ht="15.75" x14ac:dyDescent="0.25">
      <c r="A59" s="36">
        <f t="shared" si="15"/>
        <v>233.99999999999974</v>
      </c>
      <c r="B59" s="188">
        <f t="array" ref="B59">1+INDEX($O$3:$R$13,MATCH(($A59+(100-$B$3*18/$B$1-10)/18*$B$1),$O$3:$O$13,1),3)+(($A59+(100-$B$3*18/$B$1-10)/18*$B$1)-INDEX($O$3:$R$13,MATCH(($A59+(100-$B$3*18/$B$1-10)/18*$B$1),$O$3:$O$13,1),1))*((INDEX($O$3:$R$13,MATCH(($A59+(100-$B$3*18/$B$1-10)/18*$B$1),$O$3:$O$13,1)+1,3)-INDEX($O$3:$R$13,MATCH(($A59+(100-$B$3*18/$B$1-10)/18*$B$1),$O$3:$O$13,1),3))/(INDEX($O$3:$R$13,MATCH(($A59+(100-$B$3*18/$B$1-10)/18*$B$1),$O$3:$O$13,1)+1,1)-INDEX($O$3:$R$13,MATCH(($A59+(100-$B$3*18/$B$1-10)/18*$B$1),$O$3:$O$13,1),1)))</f>
        <v>1.1399999999999999</v>
      </c>
      <c r="C59" s="189">
        <f t="shared" si="8"/>
        <v>50.526315789473692</v>
      </c>
      <c r="D59" s="190">
        <f t="shared" si="9"/>
        <v>1.1399999999999999</v>
      </c>
      <c r="E59" s="189">
        <f t="array" ref="E59">1+INDEX($O$3:$R$13,MATCH(($A59+(100-$B$3*18/$B$1-10)/18*$B$1),$O$3:$O$13,1),4)+(($A59+(100-$B$3*18/$B$1-10)/18*$B$1)-INDEX($O$3:$R$13,MATCH(($A59+(100-$B$3*18/$B$1-10)/18*$B$1),$O$3:$O$13,1),1))*((INDEX($O$3:$R$13,MATCH(($A59+(100-$B$3*18/$B$1-10)/18*$B$1),$O$3:$O$13,1)+1,4)-INDEX($O$3:$R$13,MATCH(($A59+(100-$B$3*18/$B$1-10)/18*$B$1),$O$3:$O$13,1),4))/(INDEX($O$3:$R$13,MATCH(($A59+(100-$B$3*18/$B$1-10)/18*$B$1),$O$3:$O$13,1)+1,1)-INDEX($O$3:$R$13,MATCH(($A59+(100-$B$3*18/$B$1-10)/18*$B$1),$O$3:$O$13,1),1)))</f>
        <v>1.42</v>
      </c>
      <c r="F59" s="189">
        <f t="shared" si="10"/>
        <v>40.563380281690144</v>
      </c>
      <c r="G59" s="189">
        <f t="shared" si="11"/>
        <v>1.42</v>
      </c>
      <c r="H59" s="191">
        <f t="shared" si="12"/>
        <v>0.2456140350877194</v>
      </c>
      <c r="I59" s="189">
        <f t="shared" si="13"/>
        <v>46.739642429532061</v>
      </c>
      <c r="J59" s="189">
        <f t="shared" si="14"/>
        <v>37.39171394362566</v>
      </c>
      <c r="L59" s="224">
        <v>1.186073338112335</v>
      </c>
      <c r="M59" s="225">
        <v>48.563607450844337</v>
      </c>
      <c r="U59" s="171"/>
      <c r="W59" s="170"/>
      <c r="X59" s="220" t="s">
        <v>275</v>
      </c>
      <c r="Y59" s="220"/>
      <c r="Z59" s="223"/>
    </row>
    <row r="60" spans="1:26" ht="15.75" x14ac:dyDescent="0.25">
      <c r="A60" s="36">
        <f t="shared" si="15"/>
        <v>237.59999999999974</v>
      </c>
      <c r="B60" s="188">
        <f t="array" ref="B60">1+INDEX($O$3:$R$13,MATCH(($A60+(100-$B$3*18/$B$1-10)/18*$B$1),$O$3:$O$13,1),3)+(($A60+(100-$B$3*18/$B$1-10)/18*$B$1)-INDEX($O$3:$R$13,MATCH(($A60+(100-$B$3*18/$B$1-10)/18*$B$1),$O$3:$O$13,1),1))*((INDEX($O$3:$R$13,MATCH(($A60+(100-$B$3*18/$B$1-10)/18*$B$1),$O$3:$O$13,1)+1,3)-INDEX($O$3:$R$13,MATCH(($A60+(100-$B$3*18/$B$1-10)/18*$B$1),$O$3:$O$13,1),3))/(INDEX($O$3:$R$13,MATCH(($A60+(100-$B$3*18/$B$1-10)/18*$B$1),$O$3:$O$13,1)+1,1)-INDEX($O$3:$R$13,MATCH(($A60+(100-$B$3*18/$B$1-10)/18*$B$1),$O$3:$O$13,1),1)))</f>
        <v>1.1399999999999999</v>
      </c>
      <c r="C60" s="189">
        <f t="shared" si="8"/>
        <v>50.526315789473692</v>
      </c>
      <c r="D60" s="190">
        <f t="shared" si="9"/>
        <v>1.1399999999999999</v>
      </c>
      <c r="E60" s="189">
        <f t="array" ref="E60">1+INDEX($O$3:$R$13,MATCH(($A60+(100-$B$3*18/$B$1-10)/18*$B$1),$O$3:$O$13,1),4)+(($A60+(100-$B$3*18/$B$1-10)/18*$B$1)-INDEX($O$3:$R$13,MATCH(($A60+(100-$B$3*18/$B$1-10)/18*$B$1),$O$3:$O$13,1),1))*((INDEX($O$3:$R$13,MATCH(($A60+(100-$B$3*18/$B$1-10)/18*$B$1),$O$3:$O$13,1)+1,4)-INDEX($O$3:$R$13,MATCH(($A60+(100-$B$3*18/$B$1-10)/18*$B$1),$O$3:$O$13,1),4))/(INDEX($O$3:$R$13,MATCH(($A60+(100-$B$3*18/$B$1-10)/18*$B$1),$O$3:$O$13,1)+1,1)-INDEX($O$3:$R$13,MATCH(($A60+(100-$B$3*18/$B$1-10)/18*$B$1),$O$3:$O$13,1),1)))</f>
        <v>1.42</v>
      </c>
      <c r="F60" s="189">
        <f t="shared" si="10"/>
        <v>40.563380281690144</v>
      </c>
      <c r="G60" s="189">
        <f t="shared" si="11"/>
        <v>1.42</v>
      </c>
      <c r="H60" s="191">
        <f t="shared" si="12"/>
        <v>0.2456140350877194</v>
      </c>
      <c r="I60" s="189">
        <f t="shared" si="13"/>
        <v>46.360366751134379</v>
      </c>
      <c r="J60" s="189">
        <f t="shared" si="14"/>
        <v>37.088293400907503</v>
      </c>
      <c r="L60" s="224">
        <v>1.1873567450427756</v>
      </c>
      <c r="M60" s="225">
        <v>48.511115332843723</v>
      </c>
      <c r="U60" s="171"/>
      <c r="W60" s="170"/>
      <c r="X60" t="s">
        <v>277</v>
      </c>
    </row>
    <row r="61" spans="1:26" ht="15.75" x14ac:dyDescent="0.25">
      <c r="A61" s="36">
        <f t="shared" si="15"/>
        <v>241.19999999999973</v>
      </c>
      <c r="B61" s="188">
        <f t="array" ref="B61">1+INDEX($O$3:$R$13,MATCH(($A61+(100-$B$3*18/$B$1-10)/18*$B$1),$O$3:$O$13,1),3)+(($A61+(100-$B$3*18/$B$1-10)/18*$B$1)-INDEX($O$3:$R$13,MATCH(($A61+(100-$B$3*18/$B$1-10)/18*$B$1),$O$3:$O$13,1),1))*((INDEX($O$3:$R$13,MATCH(($A61+(100-$B$3*18/$B$1-10)/18*$B$1),$O$3:$O$13,1)+1,3)-INDEX($O$3:$R$13,MATCH(($A61+(100-$B$3*18/$B$1-10)/18*$B$1),$O$3:$O$13,1),3))/(INDEX($O$3:$R$13,MATCH(($A61+(100-$B$3*18/$B$1-10)/18*$B$1),$O$3:$O$13,1)+1,1)-INDEX($O$3:$R$13,MATCH(($A61+(100-$B$3*18/$B$1-10)/18*$B$1),$O$3:$O$13,1),1)))</f>
        <v>1.1399999999999999</v>
      </c>
      <c r="C61" s="189">
        <f t="shared" si="8"/>
        <v>50.526315789473692</v>
      </c>
      <c r="D61" s="190">
        <f t="shared" si="9"/>
        <v>1.1399999999999999</v>
      </c>
      <c r="E61" s="189">
        <f t="array" ref="E61">1+INDEX($O$3:$R$13,MATCH(($A61+(100-$B$3*18/$B$1-10)/18*$B$1),$O$3:$O$13,1),4)+(($A61+(100-$B$3*18/$B$1-10)/18*$B$1)-INDEX($O$3:$R$13,MATCH(($A61+(100-$B$3*18/$B$1-10)/18*$B$1),$O$3:$O$13,1),1))*((INDEX($O$3:$R$13,MATCH(($A61+(100-$B$3*18/$B$1-10)/18*$B$1),$O$3:$O$13,1)+1,4)-INDEX($O$3:$R$13,MATCH(($A61+(100-$B$3*18/$B$1-10)/18*$B$1),$O$3:$O$13,1),4))/(INDEX($O$3:$R$13,MATCH(($A61+(100-$B$3*18/$B$1-10)/18*$B$1),$O$3:$O$13,1)+1,1)-INDEX($O$3:$R$13,MATCH(($A61+(100-$B$3*18/$B$1-10)/18*$B$1),$O$3:$O$13,1),1)))</f>
        <v>1.42</v>
      </c>
      <c r="F61" s="189">
        <f t="shared" si="10"/>
        <v>40.563380281690144</v>
      </c>
      <c r="G61" s="189">
        <f t="shared" si="11"/>
        <v>1.42</v>
      </c>
      <c r="H61" s="191">
        <f t="shared" si="12"/>
        <v>0.2456140350877194</v>
      </c>
      <c r="I61" s="189">
        <f t="shared" si="13"/>
        <v>45.99143592903539</v>
      </c>
      <c r="J61" s="189">
        <f t="shared" si="14"/>
        <v>36.793148743228315</v>
      </c>
      <c r="L61" s="224">
        <v>1.1885253952279426</v>
      </c>
      <c r="M61" s="225">
        <v>48.463415448479438</v>
      </c>
      <c r="U61" s="171"/>
      <c r="W61" s="170"/>
      <c r="X61" t="s">
        <v>278</v>
      </c>
    </row>
    <row r="62" spans="1:26" ht="15.75" x14ac:dyDescent="0.25">
      <c r="A62" s="36">
        <f t="shared" si="15"/>
        <v>244.79999999999973</v>
      </c>
      <c r="B62" s="188">
        <f t="array" ref="B62">1+INDEX($O$3:$R$13,MATCH(($A62+(100-$B$3*18/$B$1-10)/18*$B$1),$O$3:$O$13,1),3)+(($A62+(100-$B$3*18/$B$1-10)/18*$B$1)-INDEX($O$3:$R$13,MATCH(($A62+(100-$B$3*18/$B$1-10)/18*$B$1),$O$3:$O$13,1),1))*((INDEX($O$3:$R$13,MATCH(($A62+(100-$B$3*18/$B$1-10)/18*$B$1),$O$3:$O$13,1)+1,3)-INDEX($O$3:$R$13,MATCH(($A62+(100-$B$3*18/$B$1-10)/18*$B$1),$O$3:$O$13,1),3))/(INDEX($O$3:$R$13,MATCH(($A62+(100-$B$3*18/$B$1-10)/18*$B$1),$O$3:$O$13,1)+1,1)-INDEX($O$3:$R$13,MATCH(($A62+(100-$B$3*18/$B$1-10)/18*$B$1),$O$3:$O$13,1),1)))</f>
        <v>1.1399999999999999</v>
      </c>
      <c r="C62" s="189">
        <f t="shared" si="8"/>
        <v>50.526315789473692</v>
      </c>
      <c r="D62" s="190">
        <f t="shared" si="9"/>
        <v>1.1399999999999999</v>
      </c>
      <c r="E62" s="189">
        <f t="array" ref="E62">1+INDEX($O$3:$R$13,MATCH(($A62+(100-$B$3*18/$B$1-10)/18*$B$1),$O$3:$O$13,1),4)+(($A62+(100-$B$3*18/$B$1-10)/18*$B$1)-INDEX($O$3:$R$13,MATCH(($A62+(100-$B$3*18/$B$1-10)/18*$B$1),$O$3:$O$13,1),1))*((INDEX($O$3:$R$13,MATCH(($A62+(100-$B$3*18/$B$1-10)/18*$B$1),$O$3:$O$13,1)+1,4)-INDEX($O$3:$R$13,MATCH(($A62+(100-$B$3*18/$B$1-10)/18*$B$1),$O$3:$O$13,1),4))/(INDEX($O$3:$R$13,MATCH(($A62+(100-$B$3*18/$B$1-10)/18*$B$1),$O$3:$O$13,1)+1,1)-INDEX($O$3:$R$13,MATCH(($A62+(100-$B$3*18/$B$1-10)/18*$B$1),$O$3:$O$13,1),1)))</f>
        <v>1.42</v>
      </c>
      <c r="F62" s="189">
        <f t="shared" si="10"/>
        <v>40.563380281690144</v>
      </c>
      <c r="G62" s="189">
        <f t="shared" si="11"/>
        <v>1.42</v>
      </c>
      <c r="H62" s="191">
        <f t="shared" si="12"/>
        <v>0.2456140350877194</v>
      </c>
      <c r="I62" s="189">
        <f t="shared" si="13"/>
        <v>45.632409197443572</v>
      </c>
      <c r="J62" s="189">
        <f t="shared" si="14"/>
        <v>36.50592735795486</v>
      </c>
      <c r="L62" s="224">
        <v>1.189588927239287</v>
      </c>
      <c r="M62" s="225">
        <v>48.420087545429638</v>
      </c>
      <c r="U62" s="171"/>
      <c r="W62" s="170"/>
      <c r="X62" t="s">
        <v>279</v>
      </c>
    </row>
    <row r="63" spans="1:26" ht="15.75" x14ac:dyDescent="0.25">
      <c r="A63" s="36">
        <f t="shared" si="15"/>
        <v>248.39999999999972</v>
      </c>
      <c r="B63" s="188">
        <f t="array" ref="B63">1+INDEX($O$3:$R$13,MATCH(($A63+(100-$B$3*18/$B$1-10)/18*$B$1),$O$3:$O$13,1),3)+(($A63+(100-$B$3*18/$B$1-10)/18*$B$1)-INDEX($O$3:$R$13,MATCH(($A63+(100-$B$3*18/$B$1-10)/18*$B$1),$O$3:$O$13,1),1))*((INDEX($O$3:$R$13,MATCH(($A63+(100-$B$3*18/$B$1-10)/18*$B$1),$O$3:$O$13,1)+1,3)-INDEX($O$3:$R$13,MATCH(($A63+(100-$B$3*18/$B$1-10)/18*$B$1),$O$3:$O$13,1),3))/(INDEX($O$3:$R$13,MATCH(($A63+(100-$B$3*18/$B$1-10)/18*$B$1),$O$3:$O$13,1)+1,1)-INDEX($O$3:$R$13,MATCH(($A63+(100-$B$3*18/$B$1-10)/18*$B$1),$O$3:$O$13,1),1)))</f>
        <v>1.1399999999999999</v>
      </c>
      <c r="C63" s="189">
        <f t="shared" si="8"/>
        <v>50.526315789473692</v>
      </c>
      <c r="D63" s="190">
        <f t="shared" si="9"/>
        <v>1.1399999999999999</v>
      </c>
      <c r="E63" s="189">
        <f t="array" ref="E63">1+INDEX($O$3:$R$13,MATCH(($A63+(100-$B$3*18/$B$1-10)/18*$B$1),$O$3:$O$13,1),4)+(($A63+(100-$B$3*18/$B$1-10)/18*$B$1)-INDEX($O$3:$R$13,MATCH(($A63+(100-$B$3*18/$B$1-10)/18*$B$1),$O$3:$O$13,1),1))*((INDEX($O$3:$R$13,MATCH(($A63+(100-$B$3*18/$B$1-10)/18*$B$1),$O$3:$O$13,1)+1,4)-INDEX($O$3:$R$13,MATCH(($A63+(100-$B$3*18/$B$1-10)/18*$B$1),$O$3:$O$13,1),4))/(INDEX($O$3:$R$13,MATCH(($A63+(100-$B$3*18/$B$1-10)/18*$B$1),$O$3:$O$13,1)+1,1)-INDEX($O$3:$R$13,MATCH(($A63+(100-$B$3*18/$B$1-10)/18*$B$1),$O$3:$O$13,1),1)))</f>
        <v>1.42</v>
      </c>
      <c r="F63" s="189">
        <f t="shared" si="10"/>
        <v>40.563380281690144</v>
      </c>
      <c r="G63" s="189">
        <f t="shared" si="11"/>
        <v>1.42</v>
      </c>
      <c r="H63" s="191">
        <f t="shared" si="12"/>
        <v>0.2456140350877194</v>
      </c>
      <c r="I63" s="189">
        <f t="shared" si="13"/>
        <v>45.282870916422603</v>
      </c>
      <c r="J63" s="189">
        <f t="shared" si="14"/>
        <v>36.226296733138092</v>
      </c>
      <c r="L63" s="224">
        <v>1.1905562810210841</v>
      </c>
      <c r="M63" s="225">
        <v>48.380745134198271</v>
      </c>
      <c r="U63" s="171"/>
      <c r="W63" s="170"/>
      <c r="X63" t="s">
        <v>280</v>
      </c>
    </row>
    <row r="64" spans="1:26" ht="15.75" x14ac:dyDescent="0.25">
      <c r="A64" s="36">
        <f t="shared" si="15"/>
        <v>251.99999999999972</v>
      </c>
      <c r="B64" s="188">
        <f t="array" ref="B64">1+INDEX($O$3:$R$13,MATCH(($A64+(100-$B$3*18/$B$1-10)/18*$B$1),$O$3:$O$13,1),3)+(($A64+(100-$B$3*18/$B$1-10)/18*$B$1)-INDEX($O$3:$R$13,MATCH(($A64+(100-$B$3*18/$B$1-10)/18*$B$1),$O$3:$O$13,1),1))*((INDEX($O$3:$R$13,MATCH(($A64+(100-$B$3*18/$B$1-10)/18*$B$1),$O$3:$O$13,1)+1,3)-INDEX($O$3:$R$13,MATCH(($A64+(100-$B$3*18/$B$1-10)/18*$B$1),$O$3:$O$13,1),3))/(INDEX($O$3:$R$13,MATCH(($A64+(100-$B$3*18/$B$1-10)/18*$B$1),$O$3:$O$13,1)+1,1)-INDEX($O$3:$R$13,MATCH(($A64+(100-$B$3*18/$B$1-10)/18*$B$1),$O$3:$O$13,1),1)))</f>
        <v>1.1399999999999999</v>
      </c>
      <c r="C64" s="189">
        <f t="shared" si="8"/>
        <v>50.526315789473692</v>
      </c>
      <c r="D64" s="190">
        <f t="shared" si="9"/>
        <v>1.1399999999999999</v>
      </c>
      <c r="E64" s="189">
        <f t="array" ref="E64">1+INDEX($O$3:$R$13,MATCH(($A64+(100-$B$3*18/$B$1-10)/18*$B$1),$O$3:$O$13,1),4)+(($A64+(100-$B$3*18/$B$1-10)/18*$B$1)-INDEX($O$3:$R$13,MATCH(($A64+(100-$B$3*18/$B$1-10)/18*$B$1),$O$3:$O$13,1),1))*((INDEX($O$3:$R$13,MATCH(($A64+(100-$B$3*18/$B$1-10)/18*$B$1),$O$3:$O$13,1)+1,4)-INDEX($O$3:$R$13,MATCH(($A64+(100-$B$3*18/$B$1-10)/18*$B$1),$O$3:$O$13,1),4))/(INDEX($O$3:$R$13,MATCH(($A64+(100-$B$3*18/$B$1-10)/18*$B$1),$O$3:$O$13,1)+1,1)-INDEX($O$3:$R$13,MATCH(($A64+(100-$B$3*18/$B$1-10)/18*$B$1),$O$3:$O$13,1),1)))</f>
        <v>1.42</v>
      </c>
      <c r="F64" s="189">
        <f t="shared" si="10"/>
        <v>40.563380281690144</v>
      </c>
      <c r="G64" s="189">
        <f t="shared" si="11"/>
        <v>1.42</v>
      </c>
      <c r="H64" s="191">
        <f t="shared" si="12"/>
        <v>0.2456140350877194</v>
      </c>
      <c r="I64" s="189">
        <f t="shared" si="13"/>
        <v>44.942428793413548</v>
      </c>
      <c r="J64" s="189">
        <f t="shared" si="14"/>
        <v>35.953943034730841</v>
      </c>
      <c r="L64" s="224">
        <v>1.1914357281670593</v>
      </c>
      <c r="M64" s="225">
        <v>48.345033339409405</v>
      </c>
      <c r="U64" s="171"/>
      <c r="W64" s="170"/>
      <c r="X64" t="s">
        <v>281</v>
      </c>
    </row>
    <row r="65" spans="1:24" ht="15.75" x14ac:dyDescent="0.25">
      <c r="A65" s="36">
        <f t="shared" si="15"/>
        <v>255.59999999999971</v>
      </c>
      <c r="B65" s="188">
        <f t="array" ref="B65">1+INDEX($O$3:$R$13,MATCH(($A65+(100-$B$3*18/$B$1-10)/18*$B$1),$O$3:$O$13,1),3)+(($A65+(100-$B$3*18/$B$1-10)/18*$B$1)-INDEX($O$3:$R$13,MATCH(($A65+(100-$B$3*18/$B$1-10)/18*$B$1),$O$3:$O$13,1),1))*((INDEX($O$3:$R$13,MATCH(($A65+(100-$B$3*18/$B$1-10)/18*$B$1),$O$3:$O$13,1)+1,3)-INDEX($O$3:$R$13,MATCH(($A65+(100-$B$3*18/$B$1-10)/18*$B$1),$O$3:$O$13,1),3))/(INDEX($O$3:$R$13,MATCH(($A65+(100-$B$3*18/$B$1-10)/18*$B$1),$O$3:$O$13,1)+1,1)-INDEX($O$3:$R$13,MATCH(($A65+(100-$B$3*18/$B$1-10)/18*$B$1),$O$3:$O$13,1),1)))</f>
        <v>1.1399999999999999</v>
      </c>
      <c r="C65" s="189">
        <f t="shared" si="8"/>
        <v>50.526315789473692</v>
      </c>
      <c r="D65" s="190">
        <f t="shared" si="9"/>
        <v>1.1399999999999999</v>
      </c>
      <c r="E65" s="189">
        <f t="array" ref="E65">1+INDEX($O$3:$R$13,MATCH(($A65+(100-$B$3*18/$B$1-10)/18*$B$1),$O$3:$O$13,1),4)+(($A65+(100-$B$3*18/$B$1-10)/18*$B$1)-INDEX($O$3:$R$13,MATCH(($A65+(100-$B$3*18/$B$1-10)/18*$B$1),$O$3:$O$13,1),1))*((INDEX($O$3:$R$13,MATCH(($A65+(100-$B$3*18/$B$1-10)/18*$B$1),$O$3:$O$13,1)+1,4)-INDEX($O$3:$R$13,MATCH(($A65+(100-$B$3*18/$B$1-10)/18*$B$1),$O$3:$O$13,1),4))/(INDEX($O$3:$R$13,MATCH(($A65+(100-$B$3*18/$B$1-10)/18*$B$1),$O$3:$O$13,1)+1,1)-INDEX($O$3:$R$13,MATCH(($A65+(100-$B$3*18/$B$1-10)/18*$B$1),$O$3:$O$13,1),1)))</f>
        <v>1.42</v>
      </c>
      <c r="F65" s="189">
        <f t="shared" si="10"/>
        <v>40.563380281690144</v>
      </c>
      <c r="G65" s="189">
        <f t="shared" si="11"/>
        <v>1.42</v>
      </c>
      <c r="H65" s="191">
        <f t="shared" si="12"/>
        <v>0.2456140350877194</v>
      </c>
      <c r="I65" s="189">
        <f t="shared" si="13"/>
        <v>44.610712254261124</v>
      </c>
      <c r="J65" s="189">
        <f t="shared" si="14"/>
        <v>35.688569803408903</v>
      </c>
      <c r="L65" s="224">
        <v>1.1922349050408942</v>
      </c>
      <c r="M65" s="225">
        <v>48.312626778884898</v>
      </c>
      <c r="U65" s="171"/>
      <c r="W65" s="170"/>
      <c r="X65" t="s">
        <v>282</v>
      </c>
    </row>
    <row r="66" spans="1:24" ht="15.75" x14ac:dyDescent="0.25">
      <c r="A66" s="36">
        <f t="shared" si="15"/>
        <v>259.1999999999997</v>
      </c>
      <c r="B66" s="188">
        <f t="array" ref="B66">1+INDEX($O$3:$R$13,MATCH(($A66+(100-$B$3*18/$B$1-10)/18*$B$1),$O$3:$O$13,1),3)+(($A66+(100-$B$3*18/$B$1-10)/18*$B$1)-INDEX($O$3:$R$13,MATCH(($A66+(100-$B$3*18/$B$1-10)/18*$B$1),$O$3:$O$13,1),1))*((INDEX($O$3:$R$13,MATCH(($A66+(100-$B$3*18/$B$1-10)/18*$B$1),$O$3:$O$13,1)+1,3)-INDEX($O$3:$R$13,MATCH(($A66+(100-$B$3*18/$B$1-10)/18*$B$1),$O$3:$O$13,1),3))/(INDEX($O$3:$R$13,MATCH(($A66+(100-$B$3*18/$B$1-10)/18*$B$1),$O$3:$O$13,1)+1,1)-INDEX($O$3:$R$13,MATCH(($A66+(100-$B$3*18/$B$1-10)/18*$B$1),$O$3:$O$13,1),1)))</f>
        <v>1.1399999999999999</v>
      </c>
      <c r="C66" s="189">
        <f t="shared" si="8"/>
        <v>50.526315789473692</v>
      </c>
      <c r="D66" s="190">
        <f t="shared" si="9"/>
        <v>1.1399999999999999</v>
      </c>
      <c r="E66" s="189">
        <f t="array" ref="E66">1+INDEX($O$3:$R$13,MATCH(($A66+(100-$B$3*18/$B$1-10)/18*$B$1),$O$3:$O$13,1),4)+(($A66+(100-$B$3*18/$B$1-10)/18*$B$1)-INDEX($O$3:$R$13,MATCH(($A66+(100-$B$3*18/$B$1-10)/18*$B$1),$O$3:$O$13,1),1))*((INDEX($O$3:$R$13,MATCH(($A66+(100-$B$3*18/$B$1-10)/18*$B$1),$O$3:$O$13,1)+1,4)-INDEX($O$3:$R$13,MATCH(($A66+(100-$B$3*18/$B$1-10)/18*$B$1),$O$3:$O$13,1),4))/(INDEX($O$3:$R$13,MATCH(($A66+(100-$B$3*18/$B$1-10)/18*$B$1),$O$3:$O$13,1)+1,1)-INDEX($O$3:$R$13,MATCH(($A66+(100-$B$3*18/$B$1-10)/18*$B$1),$O$3:$O$13,1),1)))</f>
        <v>1.42</v>
      </c>
      <c r="F66" s="189">
        <f t="shared" si="10"/>
        <v>40.563380281690144</v>
      </c>
      <c r="G66" s="189">
        <f t="shared" si="11"/>
        <v>1.42</v>
      </c>
      <c r="H66" s="191">
        <f t="shared" si="12"/>
        <v>0.2456140350877194</v>
      </c>
      <c r="I66" s="189">
        <f t="shared" si="13"/>
        <v>44.287370949255674</v>
      </c>
      <c r="J66" s="189">
        <f t="shared" si="14"/>
        <v>35.429896759404549</v>
      </c>
      <c r="L66" s="224">
        <v>1.1929608476341447</v>
      </c>
      <c r="M66" s="225">
        <v>48.283227495882308</v>
      </c>
      <c r="U66" s="171"/>
      <c r="W66" s="170"/>
      <c r="X66" t="s">
        <v>283</v>
      </c>
    </row>
    <row r="67" spans="1:24" ht="15.75" x14ac:dyDescent="0.25">
      <c r="A67" s="36">
        <f t="shared" si="15"/>
        <v>262.79999999999973</v>
      </c>
      <c r="B67" s="188">
        <f t="array" ref="B67">1+INDEX($O$3:$R$13,MATCH(($A67+(100-$B$3*18/$B$1-10)/18*$B$1),$O$3:$O$13,1),3)+(($A67+(100-$B$3*18/$B$1-10)/18*$B$1)-INDEX($O$3:$R$13,MATCH(($A67+(100-$B$3*18/$B$1-10)/18*$B$1),$O$3:$O$13,1),1))*((INDEX($O$3:$R$13,MATCH(($A67+(100-$B$3*18/$B$1-10)/18*$B$1),$O$3:$O$13,1)+1,3)-INDEX($O$3:$R$13,MATCH(($A67+(100-$B$3*18/$B$1-10)/18*$B$1),$O$3:$O$13,1),3))/(INDEX($O$3:$R$13,MATCH(($A67+(100-$B$3*18/$B$1-10)/18*$B$1),$O$3:$O$13,1)+1,1)-INDEX($O$3:$R$13,MATCH(($A67+(100-$B$3*18/$B$1-10)/18*$B$1),$O$3:$O$13,1),1)))</f>
        <v>1.1399999999999999</v>
      </c>
      <c r="C67" s="189">
        <f t="shared" si="8"/>
        <v>50.526315789473692</v>
      </c>
      <c r="D67" s="190">
        <f t="shared" si="9"/>
        <v>1.1399999999999999</v>
      </c>
      <c r="E67" s="189">
        <f t="array" ref="E67">1+INDEX($O$3:$R$13,MATCH(($A67+(100-$B$3*18/$B$1-10)/18*$B$1),$O$3:$O$13,1),4)+(($A67+(100-$B$3*18/$B$1-10)/18*$B$1)-INDEX($O$3:$R$13,MATCH(($A67+(100-$B$3*18/$B$1-10)/18*$B$1),$O$3:$O$13,1),1))*((INDEX($O$3:$R$13,MATCH(($A67+(100-$B$3*18/$B$1-10)/18*$B$1),$O$3:$O$13,1)+1,4)-INDEX($O$3:$R$13,MATCH(($A67+(100-$B$3*18/$B$1-10)/18*$B$1),$O$3:$O$13,1),4))/(INDEX($O$3:$R$13,MATCH(($A67+(100-$B$3*18/$B$1-10)/18*$B$1),$O$3:$O$13,1)+1,1)-INDEX($O$3:$R$13,MATCH(($A67+(100-$B$3*18/$B$1-10)/18*$B$1),$O$3:$O$13,1),1)))</f>
        <v>1.42</v>
      </c>
      <c r="F67" s="189">
        <f t="shared" si="10"/>
        <v>40.563380281690144</v>
      </c>
      <c r="G67" s="189">
        <f t="shared" si="11"/>
        <v>1.42</v>
      </c>
      <c r="H67" s="191">
        <f t="shared" si="12"/>
        <v>0.2456140350877194</v>
      </c>
      <c r="I67" s="189">
        <f t="shared" si="13"/>
        <v>43.972073381286791</v>
      </c>
      <c r="J67" s="189">
        <f t="shared" si="14"/>
        <v>35.177658705029437</v>
      </c>
      <c r="L67" s="224">
        <v>1.1936200272643482</v>
      </c>
      <c r="M67" s="225">
        <v>48.256562963352039</v>
      </c>
      <c r="O67" t="s">
        <v>243</v>
      </c>
      <c r="U67" s="171"/>
      <c r="W67" s="170"/>
      <c r="X67" t="s">
        <v>284</v>
      </c>
    </row>
    <row r="68" spans="1:24" ht="15.75" x14ac:dyDescent="0.25">
      <c r="A68" s="36">
        <f t="shared" si="15"/>
        <v>266.39999999999975</v>
      </c>
      <c r="B68" s="188">
        <f t="array" ref="B68">1+INDEX($O$3:$R$13,MATCH(($A68+(100-$B$3*18/$B$1-10)/18*$B$1),$O$3:$O$13,1),3)+(($A68+(100-$B$3*18/$B$1-10)/18*$B$1)-INDEX($O$3:$R$13,MATCH(($A68+(100-$B$3*18/$B$1-10)/18*$B$1),$O$3:$O$13,1),1))*((INDEX($O$3:$R$13,MATCH(($A68+(100-$B$3*18/$B$1-10)/18*$B$1),$O$3:$O$13,1)+1,3)-INDEX($O$3:$R$13,MATCH(($A68+(100-$B$3*18/$B$1-10)/18*$B$1),$O$3:$O$13,1),3))/(INDEX($O$3:$R$13,MATCH(($A68+(100-$B$3*18/$B$1-10)/18*$B$1),$O$3:$O$13,1)+1,1)-INDEX($O$3:$R$13,MATCH(($A68+(100-$B$3*18/$B$1-10)/18*$B$1),$O$3:$O$13,1),1)))</f>
        <v>1.1399999999999999</v>
      </c>
      <c r="C68" s="189">
        <f t="shared" si="8"/>
        <v>50.526315789473692</v>
      </c>
      <c r="D68" s="190">
        <f t="shared" si="9"/>
        <v>1.1399999999999999</v>
      </c>
      <c r="E68" s="189">
        <f t="array" ref="E68">1+INDEX($O$3:$R$13,MATCH(($A68+(100-$B$3*18/$B$1-10)/18*$B$1),$O$3:$O$13,1),4)+(($A68+(100-$B$3*18/$B$1-10)/18*$B$1)-INDEX($O$3:$R$13,MATCH(($A68+(100-$B$3*18/$B$1-10)/18*$B$1),$O$3:$O$13,1),1))*((INDEX($O$3:$R$13,MATCH(($A68+(100-$B$3*18/$B$1-10)/18*$B$1),$O$3:$O$13,1)+1,4)-INDEX($O$3:$R$13,MATCH(($A68+(100-$B$3*18/$B$1-10)/18*$B$1),$O$3:$O$13,1),4))/(INDEX($O$3:$R$13,MATCH(($A68+(100-$B$3*18/$B$1-10)/18*$B$1),$O$3:$O$13,1)+1,1)-INDEX($O$3:$R$13,MATCH(($A68+(100-$B$3*18/$B$1-10)/18*$B$1),$O$3:$O$13,1),1)))</f>
        <v>1.42</v>
      </c>
      <c r="F68" s="189">
        <f t="shared" si="10"/>
        <v>40.563380281690144</v>
      </c>
      <c r="G68" s="189">
        <f t="shared" si="11"/>
        <v>1.42</v>
      </c>
      <c r="H68" s="191">
        <f t="shared" si="12"/>
        <v>0.2456140350877194</v>
      </c>
      <c r="I68" s="189">
        <f t="shared" si="13"/>
        <v>43.664505644596503</v>
      </c>
      <c r="J68" s="189">
        <f t="shared" si="14"/>
        <v>34.931604515677208</v>
      </c>
      <c r="L68" s="224">
        <v>1.1942183863974454</v>
      </c>
      <c r="M68" s="225">
        <v>48.232384173685183</v>
      </c>
      <c r="O68" t="s">
        <v>245</v>
      </c>
      <c r="U68" s="171"/>
      <c r="W68" s="170"/>
      <c r="X68" t="s">
        <v>285</v>
      </c>
    </row>
    <row r="69" spans="1:24" ht="15.75" x14ac:dyDescent="0.25">
      <c r="A69" s="36">
        <f t="shared" si="15"/>
        <v>269.99999999999977</v>
      </c>
      <c r="B69" s="188">
        <f t="array" ref="B69">1+INDEX($O$3:$R$13,MATCH(($A69+(100-$B$3*18/$B$1-10)/18*$B$1),$O$3:$O$13,1),3)+(($A69+(100-$B$3*18/$B$1-10)/18*$B$1)-INDEX($O$3:$R$13,MATCH(($A69+(100-$B$3*18/$B$1-10)/18*$B$1),$O$3:$O$13,1),1))*((INDEX($O$3:$R$13,MATCH(($A69+(100-$B$3*18/$B$1-10)/18*$B$1),$O$3:$O$13,1)+1,3)-INDEX($O$3:$R$13,MATCH(($A69+(100-$B$3*18/$B$1-10)/18*$B$1),$O$3:$O$13,1),3))/(INDEX($O$3:$R$13,MATCH(($A69+(100-$B$3*18/$B$1-10)/18*$B$1),$O$3:$O$13,1)+1,1)-INDEX($O$3:$R$13,MATCH(($A69+(100-$B$3*18/$B$1-10)/18*$B$1),$O$3:$O$13,1),1)))</f>
        <v>1.1399999999999999</v>
      </c>
      <c r="C69" s="189">
        <f t="shared" si="8"/>
        <v>50.526315789473692</v>
      </c>
      <c r="D69" s="190">
        <f t="shared" si="9"/>
        <v>1.1399999999999999</v>
      </c>
      <c r="E69" s="189">
        <f t="array" ref="E69">1+INDEX($O$3:$R$13,MATCH(($A69+(100-$B$3*18/$B$1-10)/18*$B$1),$O$3:$O$13,1),4)+(($A69+(100-$B$3*18/$B$1-10)/18*$B$1)-INDEX($O$3:$R$13,MATCH(($A69+(100-$B$3*18/$B$1-10)/18*$B$1),$O$3:$O$13,1),1))*((INDEX($O$3:$R$13,MATCH(($A69+(100-$B$3*18/$B$1-10)/18*$B$1),$O$3:$O$13,1)+1,4)-INDEX($O$3:$R$13,MATCH(($A69+(100-$B$3*18/$B$1-10)/18*$B$1),$O$3:$O$13,1),4))/(INDEX($O$3:$R$13,MATCH(($A69+(100-$B$3*18/$B$1-10)/18*$B$1),$O$3:$O$13,1)+1,1)-INDEX($O$3:$R$13,MATCH(($A69+(100-$B$3*18/$B$1-10)/18*$B$1),$O$3:$O$13,1),1)))</f>
        <v>1.42</v>
      </c>
      <c r="F69" s="189">
        <f t="shared" si="10"/>
        <v>40.563380281690144</v>
      </c>
      <c r="G69" s="189">
        <f t="shared" si="11"/>
        <v>1.42</v>
      </c>
      <c r="H69" s="191">
        <f t="shared" si="12"/>
        <v>0.2456140350877194</v>
      </c>
      <c r="I69" s="189">
        <f t="shared" si="13"/>
        <v>43.364370263845899</v>
      </c>
      <c r="J69" s="189">
        <f t="shared" si="14"/>
        <v>34.691496211076725</v>
      </c>
      <c r="L69" s="224">
        <v>1.194761374033797</v>
      </c>
      <c r="M69" s="225">
        <v>48.210463823021641</v>
      </c>
      <c r="O69" t="s">
        <v>287</v>
      </c>
      <c r="U69" s="171"/>
      <c r="W69" s="170"/>
      <c r="X69" t="s">
        <v>286</v>
      </c>
    </row>
    <row r="70" spans="1:24" ht="15.75" x14ac:dyDescent="0.25">
      <c r="A70" s="36">
        <f t="shared" si="15"/>
        <v>273.5999999999998</v>
      </c>
      <c r="B70" s="188">
        <f t="array" ref="B70">1+INDEX($O$3:$R$13,MATCH(($A70+(100-$B$3*18/$B$1-10)/18*$B$1),$O$3:$O$13,1),3)+(($A70+(100-$B$3*18/$B$1-10)/18*$B$1)-INDEX($O$3:$R$13,MATCH(($A70+(100-$B$3*18/$B$1-10)/18*$B$1),$O$3:$O$13,1),1))*((INDEX($O$3:$R$13,MATCH(($A70+(100-$B$3*18/$B$1-10)/18*$B$1),$O$3:$O$13,1)+1,3)-INDEX($O$3:$R$13,MATCH(($A70+(100-$B$3*18/$B$1-10)/18*$B$1),$O$3:$O$13,1),3))/(INDEX($O$3:$R$13,MATCH(($A70+(100-$B$3*18/$B$1-10)/18*$B$1),$O$3:$O$13,1)+1,1)-INDEX($O$3:$R$13,MATCH(($A70+(100-$B$3*18/$B$1-10)/18*$B$1),$O$3:$O$13,1),1)))</f>
        <v>1.1399999999999999</v>
      </c>
      <c r="C70" s="189">
        <f t="shared" si="8"/>
        <v>50.526315789473692</v>
      </c>
      <c r="D70" s="190">
        <f t="shared" si="9"/>
        <v>1.1399999999999999</v>
      </c>
      <c r="E70" s="189">
        <f t="array" ref="E70">1+INDEX($O$3:$R$13,MATCH(($A70+(100-$B$3*18/$B$1-10)/18*$B$1),$O$3:$O$13,1),4)+(($A70+(100-$B$3*18/$B$1-10)/18*$B$1)-INDEX($O$3:$R$13,MATCH(($A70+(100-$B$3*18/$B$1-10)/18*$B$1),$O$3:$O$13,1),1))*((INDEX($O$3:$R$13,MATCH(($A70+(100-$B$3*18/$B$1-10)/18*$B$1),$O$3:$O$13,1)+1,4)-INDEX($O$3:$R$13,MATCH(($A70+(100-$B$3*18/$B$1-10)/18*$B$1),$O$3:$O$13,1),4))/(INDEX($O$3:$R$13,MATCH(($A70+(100-$B$3*18/$B$1-10)/18*$B$1),$O$3:$O$13,1)+1,1)-INDEX($O$3:$R$13,MATCH(($A70+(100-$B$3*18/$B$1-10)/18*$B$1),$O$3:$O$13,1),1)))</f>
        <v>1.42</v>
      </c>
      <c r="F70" s="189">
        <f t="shared" si="10"/>
        <v>40.563380281690144</v>
      </c>
      <c r="G70" s="189">
        <f t="shared" si="11"/>
        <v>1.42</v>
      </c>
      <c r="H70" s="191">
        <f t="shared" si="12"/>
        <v>0.2456140350877194</v>
      </c>
      <c r="I70" s="189">
        <f t="shared" si="13"/>
        <v>43.07138512428854</v>
      </c>
      <c r="J70" s="189">
        <f t="shared" si="14"/>
        <v>34.45710809943084</v>
      </c>
      <c r="L70" s="224">
        <v>1.1952539802283271</v>
      </c>
      <c r="M70" s="225">
        <v>48.190594595632959</v>
      </c>
      <c r="W70" s="170"/>
    </row>
    <row r="71" spans="1:24" ht="15.75" x14ac:dyDescent="0.25">
      <c r="A71" s="36">
        <f t="shared" si="15"/>
        <v>277.19999999999982</v>
      </c>
      <c r="B71" s="188">
        <f t="array" ref="B71">1+INDEX($O$3:$R$13,MATCH(($A71+(100-$B$3*18/$B$1-10)/18*$B$1),$O$3:$O$13,1),3)+(($A71+(100-$B$3*18/$B$1-10)/18*$B$1)-INDEX($O$3:$R$13,MATCH(($A71+(100-$B$3*18/$B$1-10)/18*$B$1),$O$3:$O$13,1),1))*((INDEX($O$3:$R$13,MATCH(($A71+(100-$B$3*18/$B$1-10)/18*$B$1),$O$3:$O$13,1)+1,3)-INDEX($O$3:$R$13,MATCH(($A71+(100-$B$3*18/$B$1-10)/18*$B$1),$O$3:$O$13,1),3))/(INDEX($O$3:$R$13,MATCH(($A71+(100-$B$3*18/$B$1-10)/18*$B$1),$O$3:$O$13,1)+1,1)-INDEX($O$3:$R$13,MATCH(($A71+(100-$B$3*18/$B$1-10)/18*$B$1),$O$3:$O$13,1),1)))</f>
        <v>1.1399999999999999</v>
      </c>
      <c r="C71" s="189">
        <f t="shared" si="8"/>
        <v>50.526315789473692</v>
      </c>
      <c r="D71" s="190">
        <f t="shared" si="9"/>
        <v>1.1399999999999999</v>
      </c>
      <c r="E71" s="189">
        <f t="array" ref="E71">1+INDEX($O$3:$R$13,MATCH(($A71+(100-$B$3*18/$B$1-10)/18*$B$1),$O$3:$O$13,1),4)+(($A71+(100-$B$3*18/$B$1-10)/18*$B$1)-INDEX($O$3:$R$13,MATCH(($A71+(100-$B$3*18/$B$1-10)/18*$B$1),$O$3:$O$13,1),1))*((INDEX($O$3:$R$13,MATCH(($A71+(100-$B$3*18/$B$1-10)/18*$B$1),$O$3:$O$13,1)+1,4)-INDEX($O$3:$R$13,MATCH(($A71+(100-$B$3*18/$B$1-10)/18*$B$1),$O$3:$O$13,1),4))/(INDEX($O$3:$R$13,MATCH(($A71+(100-$B$3*18/$B$1-10)/18*$B$1),$O$3:$O$13,1)+1,1)-INDEX($O$3:$R$13,MATCH(($A71+(100-$B$3*18/$B$1-10)/18*$B$1),$O$3:$O$13,1),1)))</f>
        <v>1.42</v>
      </c>
      <c r="F71" s="189">
        <f t="shared" si="10"/>
        <v>40.563380281690144</v>
      </c>
      <c r="G71" s="189">
        <f t="shared" si="11"/>
        <v>1.42</v>
      </c>
      <c r="H71" s="191">
        <f t="shared" si="12"/>
        <v>0.2456140350877194</v>
      </c>
      <c r="I71" s="189">
        <f t="shared" si="13"/>
        <v>42.785282484798934</v>
      </c>
      <c r="J71" s="189">
        <f t="shared" si="14"/>
        <v>34.228225987839146</v>
      </c>
      <c r="L71" s="224">
        <v>1.1957007694250394</v>
      </c>
      <c r="M71" s="225">
        <v>48.17258755106208</v>
      </c>
      <c r="U71" s="171"/>
      <c r="W71" s="170"/>
    </row>
    <row r="72" spans="1:24" ht="15.75" x14ac:dyDescent="0.25">
      <c r="A72" s="36">
        <f t="shared" si="15"/>
        <v>280.79999999999984</v>
      </c>
      <c r="B72" s="188">
        <f t="array" ref="B72">1+INDEX($O$3:$R$13,MATCH(($A72+(100-$B$3*18/$B$1-10)/18*$B$1),$O$3:$O$13,1),3)+(($A72+(100-$B$3*18/$B$1-10)/18*$B$1)-INDEX($O$3:$R$13,MATCH(($A72+(100-$B$3*18/$B$1-10)/18*$B$1),$O$3:$O$13,1),1))*((INDEX($O$3:$R$13,MATCH(($A72+(100-$B$3*18/$B$1-10)/18*$B$1),$O$3:$O$13,1)+1,3)-INDEX($O$3:$R$13,MATCH(($A72+(100-$B$3*18/$B$1-10)/18*$B$1),$O$3:$O$13,1),3))/(INDEX($O$3:$R$13,MATCH(($A72+(100-$B$3*18/$B$1-10)/18*$B$1),$O$3:$O$13,1)+1,1)-INDEX($O$3:$R$13,MATCH(($A72+(100-$B$3*18/$B$1-10)/18*$B$1),$O$3:$O$13,1),1)))</f>
        <v>1.1399999999999999</v>
      </c>
      <c r="C72" s="189">
        <f t="shared" ref="C72:C103" si="16">$B$2/B72</f>
        <v>50.526315789473692</v>
      </c>
      <c r="D72" s="190">
        <f t="shared" ref="D72:D103" si="17">$B$2*$B$4/C72</f>
        <v>1.1399999999999999</v>
      </c>
      <c r="E72" s="189">
        <f t="array" ref="E72">1+INDEX($O$3:$R$13,MATCH(($A72+(100-$B$3*18/$B$1-10)/18*$B$1),$O$3:$O$13,1),4)+(($A72+(100-$B$3*18/$B$1-10)/18*$B$1)-INDEX($O$3:$R$13,MATCH(($A72+(100-$B$3*18/$B$1-10)/18*$B$1),$O$3:$O$13,1),1))*((INDEX($O$3:$R$13,MATCH(($A72+(100-$B$3*18/$B$1-10)/18*$B$1),$O$3:$O$13,1)+1,4)-INDEX($O$3:$R$13,MATCH(($A72+(100-$B$3*18/$B$1-10)/18*$B$1),$O$3:$O$13,1),4))/(INDEX($O$3:$R$13,MATCH(($A72+(100-$B$3*18/$B$1-10)/18*$B$1),$O$3:$O$13,1)+1,1)-INDEX($O$3:$R$13,MATCH(($A72+(100-$B$3*18/$B$1-10)/18*$B$1),$O$3:$O$13,1),1)))</f>
        <v>1.42</v>
      </c>
      <c r="F72" s="189">
        <f t="shared" ref="F72:F103" si="18">$B$2/E72</f>
        <v>40.563380281690144</v>
      </c>
      <c r="G72" s="189">
        <f t="shared" ref="G72:G103" si="19">$B$2*$B$4/F72</f>
        <v>1.42</v>
      </c>
      <c r="H72" s="191">
        <f t="shared" ref="H72:H103" si="20">G72/D72-1</f>
        <v>0.2456140350877194</v>
      </c>
      <c r="I72" s="189">
        <f t="shared" ref="I72:I77" si="21">1800/(($J$2+$J$3 +$J$4)/3*$J$6*LN($A72*18/$B$1/(120-$J$5)+1))/18*$B$1</f>
        <v>42.505808066348465</v>
      </c>
      <c r="J72" s="189">
        <f t="shared" ref="J72:J77" si="22">1800/(($K$2+$K$3 +$K$4)/3*$K$6*LN($A72*18/$B$1/(120-$K$5)+1))/18*$B$1</f>
        <v>34.004646453078777</v>
      </c>
      <c r="L72" s="224">
        <v>1.1961059123769282</v>
      </c>
      <c r="M72" s="225">
        <v>48.156270614477613</v>
      </c>
      <c r="U72" s="171"/>
      <c r="W72" s="170"/>
    </row>
    <row r="73" spans="1:24" ht="15.75" x14ac:dyDescent="0.25">
      <c r="A73" s="36">
        <f t="shared" si="15"/>
        <v>284.39999999999986</v>
      </c>
      <c r="B73" s="188">
        <f t="array" ref="B73">1+INDEX($O$3:$R$13,MATCH(($A73+(100-$B$3*18/$B$1-10)/18*$B$1),$O$3:$O$13,1),3)+(($A73+(100-$B$3*18/$B$1-10)/18*$B$1)-INDEX($O$3:$R$13,MATCH(($A73+(100-$B$3*18/$B$1-10)/18*$B$1),$O$3:$O$13,1),1))*((INDEX($O$3:$R$13,MATCH(($A73+(100-$B$3*18/$B$1-10)/18*$B$1),$O$3:$O$13,1)+1,3)-INDEX($O$3:$R$13,MATCH(($A73+(100-$B$3*18/$B$1-10)/18*$B$1),$O$3:$O$13,1),3))/(INDEX($O$3:$R$13,MATCH(($A73+(100-$B$3*18/$B$1-10)/18*$B$1),$O$3:$O$13,1)+1,1)-INDEX($O$3:$R$13,MATCH(($A73+(100-$B$3*18/$B$1-10)/18*$B$1),$O$3:$O$13,1),1)))</f>
        <v>1.1399999999999999</v>
      </c>
      <c r="C73" s="189">
        <f t="shared" si="16"/>
        <v>50.526315789473692</v>
      </c>
      <c r="D73" s="190">
        <f t="shared" si="17"/>
        <v>1.1399999999999999</v>
      </c>
      <c r="E73" s="189">
        <f t="array" ref="E73">1+INDEX($O$3:$R$13,MATCH(($A73+(100-$B$3*18/$B$1-10)/18*$B$1),$O$3:$O$13,1),4)+(($A73+(100-$B$3*18/$B$1-10)/18*$B$1)-INDEX($O$3:$R$13,MATCH(($A73+(100-$B$3*18/$B$1-10)/18*$B$1),$O$3:$O$13,1),1))*((INDEX($O$3:$R$13,MATCH(($A73+(100-$B$3*18/$B$1-10)/18*$B$1),$O$3:$O$13,1)+1,4)-INDEX($O$3:$R$13,MATCH(($A73+(100-$B$3*18/$B$1-10)/18*$B$1),$O$3:$O$13,1),4))/(INDEX($O$3:$R$13,MATCH(($A73+(100-$B$3*18/$B$1-10)/18*$B$1),$O$3:$O$13,1)+1,1)-INDEX($O$3:$R$13,MATCH(($A73+(100-$B$3*18/$B$1-10)/18*$B$1),$O$3:$O$13,1),1)))</f>
        <v>1.42</v>
      </c>
      <c r="F73" s="189">
        <f t="shared" si="18"/>
        <v>40.563380281690144</v>
      </c>
      <c r="G73" s="189">
        <f t="shared" si="19"/>
        <v>1.42</v>
      </c>
      <c r="H73" s="191">
        <f t="shared" si="20"/>
        <v>0.2456140350877194</v>
      </c>
      <c r="I73" s="189">
        <f t="shared" si="21"/>
        <v>42.232720209269665</v>
      </c>
      <c r="J73" s="189">
        <f t="shared" si="22"/>
        <v>33.786176167415732</v>
      </c>
      <c r="L73" s="224">
        <v>1.1964732164964955</v>
      </c>
      <c r="M73" s="225">
        <v>48.141487168984789</v>
      </c>
      <c r="U73" s="171"/>
      <c r="W73" s="170"/>
    </row>
    <row r="74" spans="1:24" ht="15.75" x14ac:dyDescent="0.25">
      <c r="A74" s="36">
        <f t="shared" si="15"/>
        <v>287.99999999999989</v>
      </c>
      <c r="B74" s="188">
        <f t="array" ref="B74">1+INDEX($O$3:$R$13,MATCH(($A74+(100-$B$3*18/$B$1-10)/18*$B$1),$O$3:$O$13,1),3)+(($A74+(100-$B$3*18/$B$1-10)/18*$B$1)-INDEX($O$3:$R$13,MATCH(($A74+(100-$B$3*18/$B$1-10)/18*$B$1),$O$3:$O$13,1),1))*((INDEX($O$3:$R$13,MATCH(($A74+(100-$B$3*18/$B$1-10)/18*$B$1),$O$3:$O$13,1)+1,3)-INDEX($O$3:$R$13,MATCH(($A74+(100-$B$3*18/$B$1-10)/18*$B$1),$O$3:$O$13,1),3))/(INDEX($O$3:$R$13,MATCH(($A74+(100-$B$3*18/$B$1-10)/18*$B$1),$O$3:$O$13,1)+1,1)-INDEX($O$3:$R$13,MATCH(($A74+(100-$B$3*18/$B$1-10)/18*$B$1),$O$3:$O$13,1),1)))</f>
        <v>1.1399999999999999</v>
      </c>
      <c r="C74" s="189">
        <f t="shared" si="16"/>
        <v>50.526315789473692</v>
      </c>
      <c r="D74" s="190">
        <f t="shared" si="17"/>
        <v>1.1399999999999999</v>
      </c>
      <c r="E74" s="189">
        <f t="array" ref="E74">1+INDEX($O$3:$R$13,MATCH(($A74+(100-$B$3*18/$B$1-10)/18*$B$1),$O$3:$O$13,1),4)+(($A74+(100-$B$3*18/$B$1-10)/18*$B$1)-INDEX($O$3:$R$13,MATCH(($A74+(100-$B$3*18/$B$1-10)/18*$B$1),$O$3:$O$13,1),1))*((INDEX($O$3:$R$13,MATCH(($A74+(100-$B$3*18/$B$1-10)/18*$B$1),$O$3:$O$13,1)+1,4)-INDEX($O$3:$R$13,MATCH(($A74+(100-$B$3*18/$B$1-10)/18*$B$1),$O$3:$O$13,1),4))/(INDEX($O$3:$R$13,MATCH(($A74+(100-$B$3*18/$B$1-10)/18*$B$1),$O$3:$O$13,1)+1,1)-INDEX($O$3:$R$13,MATCH(($A74+(100-$B$3*18/$B$1-10)/18*$B$1),$O$3:$O$13,1),1)))</f>
        <v>1.42</v>
      </c>
      <c r="F74" s="189">
        <f t="shared" si="18"/>
        <v>40.563380281690144</v>
      </c>
      <c r="G74" s="189">
        <f t="shared" si="19"/>
        <v>1.42</v>
      </c>
      <c r="H74" s="191">
        <f t="shared" si="20"/>
        <v>0.2456140350877194</v>
      </c>
      <c r="I74" s="189">
        <f t="shared" si="21"/>
        <v>41.965789093313518</v>
      </c>
      <c r="J74" s="189">
        <f t="shared" si="22"/>
        <v>33.572631274650817</v>
      </c>
      <c r="L74" s="224">
        <v>1.1968061545420583</v>
      </c>
      <c r="M74" s="225">
        <v>48.12809474734015</v>
      </c>
      <c r="U74" s="171"/>
      <c r="W74" s="170"/>
    </row>
    <row r="75" spans="1:24" ht="15.75" x14ac:dyDescent="0.25">
      <c r="A75" s="36">
        <f t="shared" si="15"/>
        <v>291.59999999999991</v>
      </c>
      <c r="B75" s="188">
        <f t="array" ref="B75">1+INDEX($O$3:$R$13,MATCH(($A75+(100-$B$3*18/$B$1-10)/18*$B$1),$O$3:$O$13,1),3)+(($A75+(100-$B$3*18/$B$1-10)/18*$B$1)-INDEX($O$3:$R$13,MATCH(($A75+(100-$B$3*18/$B$1-10)/18*$B$1),$O$3:$O$13,1),1))*((INDEX($O$3:$R$13,MATCH(($A75+(100-$B$3*18/$B$1-10)/18*$B$1),$O$3:$O$13,1)+1,3)-INDEX($O$3:$R$13,MATCH(($A75+(100-$B$3*18/$B$1-10)/18*$B$1),$O$3:$O$13,1),3))/(INDEX($O$3:$R$13,MATCH(($A75+(100-$B$3*18/$B$1-10)/18*$B$1),$O$3:$O$13,1)+1,1)-INDEX($O$3:$R$13,MATCH(($A75+(100-$B$3*18/$B$1-10)/18*$B$1),$O$3:$O$13,1),1)))</f>
        <v>1.1399999999999999</v>
      </c>
      <c r="C75" s="189">
        <f t="shared" si="16"/>
        <v>50.526315789473692</v>
      </c>
      <c r="D75" s="190">
        <f t="shared" si="17"/>
        <v>1.1399999999999999</v>
      </c>
      <c r="E75" s="189">
        <f t="array" ref="E75">1+INDEX($O$3:$R$13,MATCH(($A75+(100-$B$3*18/$B$1-10)/18*$B$1),$O$3:$O$13,1),4)+(($A75+(100-$B$3*18/$B$1-10)/18*$B$1)-INDEX($O$3:$R$13,MATCH(($A75+(100-$B$3*18/$B$1-10)/18*$B$1),$O$3:$O$13,1),1))*((INDEX($O$3:$R$13,MATCH(($A75+(100-$B$3*18/$B$1-10)/18*$B$1),$O$3:$O$13,1)+1,4)-INDEX($O$3:$R$13,MATCH(($A75+(100-$B$3*18/$B$1-10)/18*$B$1),$O$3:$O$13,1),4))/(INDEX($O$3:$R$13,MATCH(($A75+(100-$B$3*18/$B$1-10)/18*$B$1),$O$3:$O$13,1)+1,1)-INDEX($O$3:$R$13,MATCH(($A75+(100-$B$3*18/$B$1-10)/18*$B$1),$O$3:$O$13,1),1)))</f>
        <v>1.42</v>
      </c>
      <c r="F75" s="189">
        <f t="shared" si="18"/>
        <v>40.563380281690144</v>
      </c>
      <c r="G75" s="189">
        <f t="shared" si="19"/>
        <v>1.42</v>
      </c>
      <c r="H75" s="191">
        <f t="shared" si="20"/>
        <v>0.2456140350877194</v>
      </c>
      <c r="I75" s="189">
        <f t="shared" si="21"/>
        <v>41.704796015095724</v>
      </c>
      <c r="J75" s="189">
        <f t="shared" si="22"/>
        <v>33.363836812076585</v>
      </c>
      <c r="L75" s="224">
        <v>1.1971078915928439</v>
      </c>
      <c r="M75" s="225">
        <v>48.11596381956749</v>
      </c>
      <c r="U75" s="171"/>
      <c r="W75" s="170"/>
    </row>
    <row r="76" spans="1:24" ht="15.75" x14ac:dyDescent="0.25">
      <c r="A76" s="36">
        <f t="shared" si="15"/>
        <v>295.19999999999993</v>
      </c>
      <c r="B76" s="188">
        <f t="array" ref="B76">1+INDEX($O$3:$R$13,MATCH(($A76+(100-$B$3*18/$B$1-10)/18*$B$1),$O$3:$O$13,1),3)+(($A76+(100-$B$3*18/$B$1-10)/18*$B$1)-INDEX($O$3:$R$13,MATCH(($A76+(100-$B$3*18/$B$1-10)/18*$B$1),$O$3:$O$13,1),1))*((INDEX($O$3:$R$13,MATCH(($A76+(100-$B$3*18/$B$1-10)/18*$B$1),$O$3:$O$13,1)+1,3)-INDEX($O$3:$R$13,MATCH(($A76+(100-$B$3*18/$B$1-10)/18*$B$1),$O$3:$O$13,1),3))/(INDEX($O$3:$R$13,MATCH(($A76+(100-$B$3*18/$B$1-10)/18*$B$1),$O$3:$O$13,1)+1,1)-INDEX($O$3:$R$13,MATCH(($A76+(100-$B$3*18/$B$1-10)/18*$B$1),$O$3:$O$13,1),1)))</f>
        <v>1.1399999999999999</v>
      </c>
      <c r="C76" s="189">
        <f t="shared" si="16"/>
        <v>50.526315789473692</v>
      </c>
      <c r="D76" s="190">
        <f t="shared" si="17"/>
        <v>1.1399999999999999</v>
      </c>
      <c r="E76" s="189">
        <f t="array" ref="E76">1+INDEX($O$3:$R$13,MATCH(($A76+(100-$B$3*18/$B$1-10)/18*$B$1),$O$3:$O$13,1),4)+(($A76+(100-$B$3*18/$B$1-10)/18*$B$1)-INDEX($O$3:$R$13,MATCH(($A76+(100-$B$3*18/$B$1-10)/18*$B$1),$O$3:$O$13,1),1))*((INDEX($O$3:$R$13,MATCH(($A76+(100-$B$3*18/$B$1-10)/18*$B$1),$O$3:$O$13,1)+1,4)-INDEX($O$3:$R$13,MATCH(($A76+(100-$B$3*18/$B$1-10)/18*$B$1),$O$3:$O$13,1),4))/(INDEX($O$3:$R$13,MATCH(($A76+(100-$B$3*18/$B$1-10)/18*$B$1),$O$3:$O$13,1)+1,1)-INDEX($O$3:$R$13,MATCH(($A76+(100-$B$3*18/$B$1-10)/18*$B$1),$O$3:$O$13,1),1)))</f>
        <v>1.42</v>
      </c>
      <c r="F76" s="189">
        <f t="shared" si="18"/>
        <v>40.563380281690144</v>
      </c>
      <c r="G76" s="189">
        <f t="shared" si="19"/>
        <v>1.42</v>
      </c>
      <c r="H76" s="191">
        <f t="shared" si="20"/>
        <v>0.2456140350877194</v>
      </c>
      <c r="I76" s="189">
        <f t="shared" si="21"/>
        <v>41.449532718053106</v>
      </c>
      <c r="J76" s="189">
        <f t="shared" si="22"/>
        <v>33.159626174442487</v>
      </c>
      <c r="L76" s="224">
        <v>1.1973813103034479</v>
      </c>
      <c r="M76" s="225">
        <v>48.10497667230387</v>
      </c>
      <c r="U76" s="171"/>
      <c r="W76" s="170"/>
    </row>
    <row r="77" spans="1:24" ht="15.75" x14ac:dyDescent="0.25">
      <c r="A77" s="36">
        <f t="shared" si="15"/>
        <v>298.79999999999995</v>
      </c>
      <c r="B77" s="188">
        <f t="array" ref="B77">1+INDEX($O$3:$R$13,MATCH(($A77+(100-$B$3*18/$B$1-10)/18*$B$1),$O$3:$O$13,1),3)+(($A77+(100-$B$3*18/$B$1-10)/18*$B$1)-INDEX($O$3:$R$13,MATCH(($A77+(100-$B$3*18/$B$1-10)/18*$B$1),$O$3:$O$13,1),1))*((INDEX($O$3:$R$13,MATCH(($A77+(100-$B$3*18/$B$1-10)/18*$B$1),$O$3:$O$13,1)+1,3)-INDEX($O$3:$R$13,MATCH(($A77+(100-$B$3*18/$B$1-10)/18*$B$1),$O$3:$O$13,1),3))/(INDEX($O$3:$R$13,MATCH(($A77+(100-$B$3*18/$B$1-10)/18*$B$1),$O$3:$O$13,1)+1,1)-INDEX($O$3:$R$13,MATCH(($A77+(100-$B$3*18/$B$1-10)/18*$B$1),$O$3:$O$13,1),1)))</f>
        <v>1.1399999999999999</v>
      </c>
      <c r="C77" s="189">
        <f t="shared" si="16"/>
        <v>50.526315789473692</v>
      </c>
      <c r="D77" s="190">
        <f t="shared" si="17"/>
        <v>1.1399999999999999</v>
      </c>
      <c r="E77" s="189">
        <f t="array" ref="E77">1+INDEX($O$3:$R$13,MATCH(($A77+(100-$B$3*18/$B$1-10)/18*$B$1),$O$3:$O$13,1),4)+(($A77+(100-$B$3*18/$B$1-10)/18*$B$1)-INDEX($O$3:$R$13,MATCH(($A77+(100-$B$3*18/$B$1-10)/18*$B$1),$O$3:$O$13,1),1))*((INDEX($O$3:$R$13,MATCH(($A77+(100-$B$3*18/$B$1-10)/18*$B$1),$O$3:$O$13,1)+1,4)-INDEX($O$3:$R$13,MATCH(($A77+(100-$B$3*18/$B$1-10)/18*$B$1),$O$3:$O$13,1),4))/(INDEX($O$3:$R$13,MATCH(($A77+(100-$B$3*18/$B$1-10)/18*$B$1),$O$3:$O$13,1)+1,1)-INDEX($O$3:$R$13,MATCH(($A77+(100-$B$3*18/$B$1-10)/18*$B$1),$O$3:$O$13,1),1)))</f>
        <v>1.42</v>
      </c>
      <c r="F77" s="189">
        <f t="shared" si="18"/>
        <v>40.563380281690144</v>
      </c>
      <c r="G77" s="189">
        <f t="shared" si="19"/>
        <v>1.42</v>
      </c>
      <c r="H77" s="191">
        <f t="shared" si="20"/>
        <v>0.2456140350877194</v>
      </c>
      <c r="I77" s="189">
        <f t="shared" si="21"/>
        <v>41.199800770500595</v>
      </c>
      <c r="J77" s="189">
        <f t="shared" si="22"/>
        <v>32.959840616400484</v>
      </c>
      <c r="L77" s="224">
        <v>1.1976290344572562</v>
      </c>
      <c r="M77" s="225">
        <v>48.095026375260915</v>
      </c>
      <c r="U77" s="171"/>
      <c r="W77" s="170"/>
    </row>
    <row r="78" spans="1:24" x14ac:dyDescent="0.2">
      <c r="U78" s="171"/>
      <c r="W78" s="170"/>
    </row>
    <row r="79" spans="1:24" x14ac:dyDescent="0.2">
      <c r="U79" s="171"/>
      <c r="W79" s="170"/>
    </row>
    <row r="80" spans="1:24" x14ac:dyDescent="0.2">
      <c r="U80" s="171"/>
      <c r="W80" s="170"/>
    </row>
  </sheetData>
  <pageMargins left="0.7" right="0.7" top="0.78740157499999996" bottom="0.78740157499999996"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acce</vt:lpstr>
      <vt:lpstr>pp</vt:lpstr>
      <vt:lpstr>dura</vt:lpstr>
      <vt:lpstr>bg, dyn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Bernd</dc:creator>
  <cp:lastModifiedBy>Bernd</cp:lastModifiedBy>
  <cp:revision>3</cp:revision>
  <dcterms:created xsi:type="dcterms:W3CDTF">2025-02-04T23:34:40Z</dcterms:created>
  <dcterms:modified xsi:type="dcterms:W3CDTF">2025-03-04T20:42:48Z</dcterms:modified>
</cp:coreProperties>
</file>